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365" yWindow="-18765" windowWidth="34455" windowHeight="17910" tabRatio="600" firstSheet="7" activeTab="15" autoFilterDateGrouping="1"/>
  </bookViews>
  <sheets>
    <sheet xmlns:r="http://schemas.openxmlformats.org/officeDocument/2006/relationships" name="Executive Summary" sheetId="1" state="visible" r:id="rId1"/>
    <sheet xmlns:r="http://schemas.openxmlformats.org/officeDocument/2006/relationships" name="Quick Reference" sheetId="2" state="visible" r:id="rId2"/>
    <sheet xmlns:r="http://schemas.openxmlformats.org/officeDocument/2006/relationships" name="Dashboard" sheetId="3" state="visible" r:id="rId3"/>
    <sheet xmlns:r="http://schemas.openxmlformats.org/officeDocument/2006/relationships" name="Quick Start" sheetId="4" state="visible" r:id="rId4"/>
    <sheet xmlns:r="http://schemas.openxmlformats.org/officeDocument/2006/relationships" name="Overview" sheetId="5" state="visible" r:id="rId5"/>
    <sheet xmlns:r="http://schemas.openxmlformats.org/officeDocument/2006/relationships" name="FSI Use Cases" sheetId="6" state="visible" r:id="rId6"/>
    <sheet xmlns:r="http://schemas.openxmlformats.org/officeDocument/2006/relationships" name="Zones Definition" sheetId="7" state="visible" r:id="rId7"/>
    <sheet xmlns:r="http://schemas.openxmlformats.org/officeDocument/2006/relationships" name="Administrative Roles" sheetId="8" state="visible" r:id="rId8"/>
    <sheet xmlns:r="http://schemas.openxmlformats.org/officeDocument/2006/relationships" name="Security Controls" sheetId="9" state="visible" r:id="rId9"/>
    <sheet xmlns:r="http://schemas.openxmlformats.org/officeDocument/2006/relationships" name="Management Controls" sheetId="10" state="visible" r:id="rId10"/>
    <sheet xmlns:r="http://schemas.openxmlformats.org/officeDocument/2006/relationships" name="Agent Reporting" sheetId="11" state="visible" r:id="rId11"/>
    <sheet xmlns:r="http://schemas.openxmlformats.org/officeDocument/2006/relationships" name="RACI Matrix" sheetId="12" state="visible" r:id="rId12"/>
    <sheet xmlns:r="http://schemas.openxmlformats.org/officeDocument/2006/relationships" name="Runbooks" sheetId="13" state="visible" r:id="rId13"/>
    <sheet xmlns:r="http://schemas.openxmlformats.org/officeDocument/2006/relationships" name="Compliance Matrix" sheetId="14" state="visible" r:id="rId14"/>
    <sheet xmlns:r="http://schemas.openxmlformats.org/officeDocument/2006/relationships" name="Exam Prep" sheetId="15" state="visible" r:id="rId15"/>
    <sheet xmlns:r="http://schemas.openxmlformats.org/officeDocument/2006/relationships" name="Implementation Checklist" sheetId="16" state="visible" r:id="rId16"/>
    <sheet xmlns:r="http://schemas.openxmlformats.org/officeDocument/2006/relationships" name="Key Contacts" sheetId="17" state="visible" r:id="rId17"/>
    <sheet xmlns:r="http://schemas.openxmlformats.org/officeDocument/2006/relationships" name="Glossary" sheetId="18" state="visible" r:id="rId18"/>
    <sheet xmlns:r="http://schemas.openxmlformats.org/officeDocument/2006/relationships" name="Doc Review" sheetId="19" state="visible" r:id="rId19"/>
    <sheet xmlns:r="http://schemas.openxmlformats.org/officeDocument/2006/relationships" name="Admin Paths" sheetId="20" state="visible" r:id="rId20"/>
    <sheet xmlns:r="http://schemas.openxmlformats.org/officeDocument/2006/relationships" name="SharePoint Adv Mgmt" sheetId="21" state="visible" r:id="rId21"/>
    <sheet xmlns:r="http://schemas.openxmlformats.org/officeDocument/2006/relationships" name="Agent 365 (Preview)" sheetId="22" state="visible" r:id="rId22"/>
  </sheets>
  <definedNames>
    <definedName name="AuditTier">Overview!$H$6</definedName>
    <definedName name="AuditTierList">Overview!$J$7:$J$58</definedName>
    <definedName name="LongTermRetentionAddOn">Overview!$H$58</definedName>
    <definedName name="LongTermRetentionAddOnList">Overview!$J$65:$J$66</definedName>
    <definedName name="ManagedEnvironmentsEnabled">Overview!$H$7</definedName>
    <definedName name="ManagedEnvList">Overview!$J$61:$J$62</definedName>
    <definedName name="TargetGovTier">Overview!$H$59</definedName>
    <definedName name="TargetGovTierList">Overview!$J$69:$J$71</definedName>
  </definedNames>
  <calcPr calcId="191028" fullCalcOnLoad="1"/>
</workbook>
</file>

<file path=xl/styles.xml><?xml version="1.0" encoding="utf-8"?>
<styleSheet xmlns="http://schemas.openxmlformats.org/spreadsheetml/2006/main">
  <numFmts count="2">
    <numFmt numFmtId="164" formatCode="yyyy\-mm\-dd"/>
    <numFmt numFmtId="165" formatCode="0.0"/>
  </numFmts>
  <fonts count="49">
    <font>
      <name val="Calibri"/>
      <family val="2"/>
      <color theme="1"/>
      <sz val="11"/>
      <scheme val="minor"/>
    </font>
    <font>
      <name val="Calibri"/>
      <family val="2"/>
      <b val="1"/>
      <color theme="1"/>
      <sz val="11"/>
      <scheme val="minor"/>
    </font>
    <font>
      <name val="Calibri"/>
      <family val="2"/>
      <b val="1"/>
      <color rgb="FFFFFFFF"/>
      <sz val="11"/>
      <scheme val="minor"/>
    </font>
    <font>
      <name val="Segoe UI"/>
      <color theme="1"/>
      <sz val="11"/>
    </font>
    <font>
      <name val="Segoe UI"/>
      <color rgb="FF323130"/>
      <sz val="11"/>
    </font>
    <font>
      <name val="Segoe UI"/>
      <b val="1"/>
      <color rgb="FF323130"/>
      <sz val="11"/>
    </font>
    <font>
      <name val="Segoe UI"/>
      <b val="1"/>
      <color rgb="FF0078D4"/>
      <sz val="11"/>
    </font>
    <font>
      <name val="Segoe UI"/>
      <b val="1"/>
      <color rgb="FFFFFFFF"/>
      <sz val="11"/>
    </font>
    <font>
      <name val="Segoe UI"/>
      <b val="1"/>
      <color rgb="FF0078D4"/>
      <sz val="18"/>
    </font>
    <font>
      <name val="Segoe UI"/>
      <b val="1"/>
      <color rgb="FFFFFFFF"/>
      <sz val="13"/>
    </font>
    <font>
      <name val="Segoe UI"/>
      <b val="1"/>
      <color rgb="FFFFFFFF"/>
      <sz val="18"/>
    </font>
    <font>
      <name val="Segoe UI"/>
      <b val="1"/>
      <i val="1"/>
      <color rgb="FFFFFFFF"/>
      <sz val="11"/>
    </font>
    <font>
      <name val="Segoe UI"/>
      <b val="1"/>
      <color rgb="FFFFFFFF"/>
      <sz val="12"/>
    </font>
    <font>
      <name val="Calibri"/>
      <family val="2"/>
      <i val="1"/>
      <color rgb="FF666666"/>
      <sz val="12"/>
      <scheme val="minor"/>
    </font>
    <font>
      <name val="Calibri"/>
      <family val="2"/>
      <b val="1"/>
      <color rgb="FFFFFFFF"/>
      <sz val="12"/>
      <scheme val="minor"/>
    </font>
    <font>
      <name val="Segoe UI"/>
      <b val="1"/>
      <color rgb="FFFFFFFF"/>
      <sz val="20"/>
    </font>
    <font>
      <name val="Calibri"/>
      <family val="2"/>
      <i val="1"/>
      <color rgb="FF666666"/>
      <sz val="11"/>
      <scheme val="minor"/>
    </font>
    <font>
      <name val="Calibri"/>
      <family val="2"/>
      <i val="1"/>
      <color rgb="FF666666"/>
      <sz val="10"/>
      <scheme val="minor"/>
    </font>
    <font>
      <name val="Calibri"/>
      <family val="2"/>
      <b val="1"/>
      <color rgb="FF000000"/>
      <sz val="11"/>
      <scheme val="minor"/>
    </font>
    <font>
      <name val="Calibri"/>
      <family val="2"/>
      <b val="1"/>
      <color rgb="FFFFFFFF"/>
      <sz val="14"/>
      <scheme val="minor"/>
    </font>
    <font>
      <name val="Calibri"/>
      <family val="2"/>
      <b val="1"/>
      <color rgb="FF1F4E79"/>
      <sz val="11"/>
      <scheme val="minor"/>
    </font>
    <font>
      <name val="Calibri"/>
      <family val="2"/>
      <color rgb="FF1F1F1F"/>
      <sz val="11"/>
      <scheme val="minor"/>
    </font>
    <font>
      <name val="Calibri"/>
      <family val="2"/>
      <color rgb="FF404040"/>
      <sz val="9"/>
      <scheme val="minor"/>
    </font>
    <font>
      <name val="Calibri"/>
      <family val="2"/>
      <b val="1"/>
      <color rgb="FF404040"/>
      <sz val="9"/>
      <scheme val="minor"/>
    </font>
    <font>
      <name val="Calibri"/>
      <b val="1"/>
      <sz val="11"/>
    </font>
    <font>
      <name val="Calibri"/>
      <family val="2"/>
      <b val="1"/>
      <color theme="1"/>
      <sz val="12"/>
      <scheme val="minor"/>
    </font>
    <font>
      <name val="Segoe UI"/>
      <b val="1"/>
      <color rgb="FFC00000"/>
      <sz val="11"/>
    </font>
    <font>
      <name val="Segoe UI"/>
      <b val="1"/>
      <i val="1"/>
      <color rgb="FF323130"/>
      <sz val="11"/>
    </font>
    <font>
      <name val="Segoe UI"/>
      <i val="1"/>
      <color rgb="FF323130"/>
      <sz val="11"/>
    </font>
    <font>
      <name val="Calibri"/>
      <family val="2"/>
      <b val="1"/>
      <color rgb="FF2E75B6"/>
      <sz val="11"/>
      <scheme val="minor"/>
    </font>
    <font>
      <name val="Calibri"/>
      <family val="2"/>
      <b val="1"/>
      <color rgb="FFED7D31"/>
      <sz val="11"/>
      <scheme val="minor"/>
    </font>
    <font>
      <name val="Calibri"/>
      <family val="2"/>
      <b val="1"/>
      <color rgb="FFC00000"/>
      <sz val="11"/>
      <scheme val="minor"/>
    </font>
    <font>
      <name val="Calibri"/>
      <family val="2"/>
      <color rgb="FF0563C1"/>
      <sz val="11"/>
      <u val="single"/>
      <scheme val="minor"/>
    </font>
    <font>
      <name val="Calibri"/>
      <family val="2"/>
      <i val="1"/>
      <color theme="1"/>
      <sz val="11"/>
      <scheme val="minor"/>
    </font>
    <font>
      <name val="Segoe UI"/>
      <color rgb="FF323130"/>
      <sz val="9"/>
    </font>
    <font>
      <b val="1"/>
      <color rgb="00FFFFFF"/>
    </font>
    <font>
      <b val="1"/>
      <color rgb="00FFFFFF"/>
      <sz val="14"/>
    </font>
    <font>
      <b val="1"/>
      <color rgb="00FFFFFF"/>
      <sz val="12"/>
    </font>
    <font>
      <b val="1"/>
    </font>
    <font>
      <b val="1"/>
      <sz val="11"/>
    </font>
    <font>
      <b val="1"/>
      <sz val="12"/>
    </font>
    <font>
      <b val="1"/>
      <color rgb="001F4E79"/>
      <sz val="18"/>
    </font>
    <font>
      <i val="1"/>
      <sz val="12"/>
    </font>
    <font>
      <b val="1"/>
      <color rgb="002F5496"/>
      <sz val="16"/>
    </font>
    <font>
      <b val="1"/>
      <color rgb="001F4E79"/>
      <sz val="14"/>
    </font>
    <font>
      <i val="1"/>
      <sz val="10"/>
    </font>
    <font>
      <b val="1"/>
      <color rgb="00FFFFFF"/>
      <sz val="11"/>
    </font>
    <font>
      <b val="1"/>
      <color rgb="001F4E79"/>
      <sz val="12"/>
    </font>
    <font>
      <b val="1"/>
      <color rgb="001F4E79"/>
      <sz val="11"/>
    </font>
  </fonts>
  <fills count="52">
    <fill>
      <patternFill/>
    </fill>
    <fill>
      <patternFill patternType="gray125"/>
    </fill>
    <fill>
      <patternFill patternType="solid">
        <fgColor rgb="FF0078D4"/>
        <bgColor indexed="64"/>
      </patternFill>
    </fill>
    <fill>
      <patternFill patternType="solid">
        <fgColor rgb="FFFFFFFF"/>
        <bgColor indexed="64"/>
      </patternFill>
    </fill>
    <fill>
      <patternFill patternType="solid">
        <fgColor rgb="FF0063B1"/>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D6E6F4"/>
        <bgColor indexed="64"/>
      </patternFill>
    </fill>
    <fill>
      <patternFill patternType="solid">
        <fgColor rgb="FFE2EFDA"/>
        <bgColor indexed="64"/>
      </patternFill>
    </fill>
    <fill>
      <patternFill patternType="solid">
        <fgColor rgb="FFFFF2F2"/>
        <bgColor indexed="64"/>
      </patternFill>
    </fill>
    <fill>
      <patternFill patternType="solid">
        <fgColor rgb="FFE7F3FF"/>
        <bgColor indexed="64"/>
      </patternFill>
    </fill>
    <fill>
      <patternFill patternType="solid">
        <fgColor rgb="FFFFCC99"/>
        <bgColor indexed="64"/>
      </patternFill>
    </fill>
    <fill>
      <patternFill patternType="solid">
        <fgColor rgb="FFBDD7EE"/>
        <bgColor indexed="64"/>
      </patternFill>
    </fill>
    <fill>
      <patternFill patternType="solid">
        <fgColor rgb="FFC00000"/>
        <bgColor indexed="64"/>
      </patternFill>
    </fill>
    <fill>
      <patternFill patternType="solid">
        <fgColor rgb="FFF8CBAD"/>
        <bgColor indexed="64"/>
      </patternFill>
    </fill>
    <fill>
      <patternFill patternType="solid">
        <fgColor rgb="FFED7D31"/>
        <bgColor indexed="64"/>
      </patternFill>
    </fill>
    <fill>
      <patternFill patternType="solid">
        <fgColor rgb="FFFCE4D6"/>
        <bgColor indexed="64"/>
      </patternFill>
    </fill>
    <fill>
      <patternFill patternType="solid">
        <fgColor rgb="FFFFC000"/>
        <bgColor indexed="64"/>
      </patternFill>
    </fill>
    <fill>
      <patternFill patternType="solid">
        <fgColor rgb="FFFFF2CC"/>
        <bgColor indexed="64"/>
      </patternFill>
    </fill>
    <fill>
      <patternFill patternType="solid">
        <fgColor rgb="FF70AD47"/>
        <bgColor indexed="64"/>
      </patternFill>
    </fill>
    <fill>
      <patternFill patternType="solid">
        <fgColor rgb="FF1F4E79"/>
        <bgColor indexed="64"/>
      </patternFill>
    </fill>
    <fill>
      <patternFill patternType="solid">
        <fgColor rgb="FFD9E1F2"/>
        <bgColor indexed="64"/>
      </patternFill>
    </fill>
    <fill>
      <patternFill patternType="solid">
        <fgColor rgb="FFE7EEF8"/>
        <bgColor indexed="64"/>
      </patternFill>
    </fill>
    <fill>
      <patternFill patternType="solid">
        <fgColor rgb="FF4472C4"/>
        <bgColor indexed="64"/>
      </patternFill>
    </fill>
    <fill>
      <patternFill patternType="solid">
        <fgColor rgb="FFE2F0D9"/>
        <bgColor indexed="64"/>
      </patternFill>
    </fill>
    <fill>
      <patternFill patternType="solid">
        <fgColor rgb="FFD6EAF8"/>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8B0000"/>
        <bgColor indexed="64"/>
      </patternFill>
    </fill>
    <fill>
      <patternFill patternType="solid">
        <fgColor rgb="FFC65911"/>
        <bgColor indexed="64"/>
      </patternFill>
    </fill>
    <fill>
      <patternFill patternType="solid">
        <fgColor rgb="FFFFA500"/>
        <bgColor indexed="64"/>
      </patternFill>
    </fill>
    <fill>
      <patternFill patternType="solid">
        <fgColor rgb="FFFFD700"/>
        <bgColor indexed="64"/>
      </patternFill>
    </fill>
    <fill>
      <patternFill patternType="solid">
        <fgColor rgb="FF2E75B6"/>
        <bgColor indexed="64"/>
      </patternFill>
    </fill>
    <fill>
      <patternFill patternType="solid">
        <fgColor rgb="FF90EE90"/>
        <bgColor indexed="64"/>
      </patternFill>
    </fill>
    <fill>
      <patternFill patternType="solid">
        <fgColor rgb="FF404040"/>
        <bgColor indexed="64"/>
      </patternFill>
    </fill>
    <fill>
      <patternFill patternType="solid">
        <fgColor rgb="FFDDEBF7"/>
        <bgColor indexed="64"/>
      </patternFill>
    </fill>
    <fill>
      <patternFill patternType="solid">
        <fgColor rgb="004472C4"/>
        <bgColor rgb="004472C4"/>
      </patternFill>
    </fill>
    <fill>
      <patternFill patternType="solid">
        <fgColor rgb="002F5496"/>
        <bgColor rgb="002F5496"/>
      </patternFill>
    </fill>
    <fill>
      <patternFill patternType="solid">
        <fgColor rgb="0070AD47"/>
        <bgColor rgb="0070AD47"/>
      </patternFill>
    </fill>
    <fill>
      <patternFill patternType="solid">
        <fgColor rgb="00C6E0B4"/>
        <bgColor rgb="00C6E0B4"/>
      </patternFill>
    </fill>
    <fill>
      <patternFill patternType="solid">
        <fgColor rgb="00D9E2F3"/>
        <bgColor rgb="00D9E2F3"/>
      </patternFill>
    </fill>
    <fill>
      <patternFill patternType="solid">
        <fgColor rgb="00E2EFDA"/>
        <bgColor rgb="00E2EFDA"/>
      </patternFill>
    </fill>
    <fill>
      <patternFill patternType="solid">
        <fgColor rgb="001F4E79"/>
        <bgColor rgb="001F4E79"/>
      </patternFill>
    </fill>
    <fill>
      <patternFill patternType="solid">
        <fgColor rgb="00D6DCE5"/>
        <bgColor rgb="00D6DCE5"/>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3CD"/>
        <bgColor rgb="00FFF3CD"/>
      </patternFill>
    </fill>
    <fill>
      <patternFill patternType="solid">
        <fgColor rgb="00E3F2FD"/>
        <bgColor rgb="00E3F2FD"/>
      </patternFill>
    </fill>
    <fill>
      <patternFill patternType="solid">
        <fgColor rgb="00F2F2F2"/>
        <bgColor rgb="00F2F2F2"/>
      </patternFill>
    </fill>
  </fills>
  <borders count="15">
    <border>
      <left/>
      <right/>
      <top/>
      <bottom/>
      <diagonal/>
    </border>
    <border>
      <left/>
      <right/>
      <top/>
      <bottom style="thin">
        <color rgb="FF0078D4"/>
      </bottom>
      <diagonal/>
    </border>
    <border>
      <left/>
      <right/>
      <top/>
      <bottom style="thick">
        <color rgb="FF0078D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9">
    <xf numFmtId="0" fontId="0" fillId="0" borderId="0" pivotButton="0" quotePrefix="0" xfId="0"/>
    <xf numFmtId="0" fontId="3" fillId="0" borderId="0" pivotButton="0" quotePrefix="0" xfId="0"/>
    <xf numFmtId="0" fontId="4"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xf numFmtId="0" fontId="6" fillId="3" borderId="0"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2" applyAlignment="1" pivotButton="0" quotePrefix="0" xfId="0">
      <alignment horizontal="center" vertical="center" wrapText="1"/>
    </xf>
    <xf numFmtId="0" fontId="10"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11" fillId="2" borderId="0" applyAlignment="1" pivotButton="0" quotePrefix="0" xfId="0">
      <alignment wrapText="1"/>
    </xf>
    <xf numFmtId="0" fontId="7" fillId="2" borderId="0" applyAlignment="1" pivotButton="0" quotePrefix="0" xfId="0">
      <alignment wrapText="1"/>
    </xf>
    <xf numFmtId="0" fontId="12" fillId="4" borderId="2" applyAlignment="1" pivotButton="0" quotePrefix="0" xfId="0">
      <alignment horizontal="center" vertical="center" wrapText="1"/>
    </xf>
    <xf numFmtId="0" fontId="9" fillId="2" borderId="2"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164" fontId="4" fillId="0" borderId="0" applyAlignment="1" pivotButton="0" quotePrefix="0" xfId="0">
      <alignment wrapText="1"/>
    </xf>
    <xf numFmtId="0" fontId="5" fillId="4" borderId="0" applyAlignment="1" pivotButton="0" quotePrefix="0" xfId="0">
      <alignment horizontal="center" vertical="center" wrapText="1"/>
    </xf>
    <xf numFmtId="0" fontId="1" fillId="8" borderId="0" pivotButton="0" quotePrefix="0" xfId="0"/>
    <xf numFmtId="165" fontId="0" fillId="0" borderId="0" pivotButton="0" quotePrefix="0" xfId="0"/>
    <xf numFmtId="9" fontId="0" fillId="0" borderId="0" pivotButton="0" quotePrefix="0" xfId="0"/>
    <xf numFmtId="0" fontId="1" fillId="9" borderId="0" pivotButton="0" quotePrefix="0" xfId="0"/>
    <xf numFmtId="0" fontId="0" fillId="9" borderId="0" pivotButton="0" quotePrefix="0" xfId="0"/>
    <xf numFmtId="9" fontId="0" fillId="9" borderId="0" pivotButton="0" quotePrefix="0" xfId="0"/>
    <xf numFmtId="0" fontId="0" fillId="10" borderId="0" pivotButton="0" quotePrefix="0" xfId="0"/>
    <xf numFmtId="0" fontId="1" fillId="11" borderId="0" pivotButton="0" quotePrefix="0" xfId="0"/>
    <xf numFmtId="0" fontId="0" fillId="7" borderId="0" pivotButton="0" quotePrefix="0" xfId="0"/>
    <xf numFmtId="0" fontId="0" fillId="12" borderId="0" pivotButton="0" quotePrefix="0" xfId="0"/>
    <xf numFmtId="0" fontId="0" fillId="6" borderId="0" pivotButton="0" quotePrefix="0" xfId="0"/>
    <xf numFmtId="0" fontId="0" fillId="13" borderId="0" pivotButton="0" quotePrefix="0" xfId="0"/>
    <xf numFmtId="0" fontId="0" fillId="5" borderId="0" pivotButton="0" quotePrefix="0" xfId="0"/>
    <xf numFmtId="0" fontId="1" fillId="8"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center"/>
    </xf>
    <xf numFmtId="0" fontId="1" fillId="8" borderId="0" applyAlignment="1" pivotButton="0" quotePrefix="0" xfId="0">
      <alignment horizontal="center" wrapText="1"/>
    </xf>
    <xf numFmtId="0" fontId="1" fillId="15" borderId="0" pivotButton="0" quotePrefix="0" xfId="0"/>
    <xf numFmtId="0" fontId="1" fillId="17" borderId="0" pivotButton="0" quotePrefix="0" xfId="0"/>
    <xf numFmtId="0" fontId="1" fillId="19" borderId="0" pivotButton="0" quotePrefix="0" xfId="0"/>
    <xf numFmtId="0" fontId="1" fillId="17" borderId="0" applyAlignment="1" pivotButton="0" quotePrefix="0" xfId="0">
      <alignment wrapText="1"/>
    </xf>
    <xf numFmtId="0" fontId="1" fillId="19" borderId="0" applyAlignment="1" pivotButton="0" quotePrefix="0" xfId="0">
      <alignment wrapText="1"/>
    </xf>
    <xf numFmtId="0" fontId="1" fillId="9" borderId="0" applyAlignment="1" pivotButton="0" quotePrefix="0" xfId="0">
      <alignment wrapText="1"/>
    </xf>
    <xf numFmtId="17" fontId="0" fillId="0" borderId="0" applyAlignment="1" pivotButton="0" quotePrefix="0" xfId="0">
      <alignment wrapText="1"/>
    </xf>
    <xf numFmtId="0" fontId="4" fillId="0" borderId="0" applyAlignment="1" pivotButton="0" quotePrefix="0" xfId="0">
      <alignment vertical="top" wrapText="1"/>
    </xf>
    <xf numFmtId="0" fontId="1" fillId="0" borderId="0" pivotButton="0" quotePrefix="0" xfId="0"/>
    <xf numFmtId="0" fontId="21" fillId="23" borderId="0" pivotButton="0" quotePrefix="0" xfId="0"/>
    <xf numFmtId="0" fontId="22" fillId="0" borderId="0" pivotButton="0" quotePrefix="0" xfId="0"/>
    <xf numFmtId="0" fontId="23" fillId="0" borderId="0" pivotButton="0" quotePrefix="0" xfId="0"/>
    <xf numFmtId="0" fontId="24" fillId="0" borderId="3" applyAlignment="1" pivotButton="0" quotePrefix="0" xfId="0">
      <alignment horizontal="center" vertical="top"/>
    </xf>
    <xf numFmtId="0" fontId="5" fillId="0" borderId="0" applyAlignment="1" pivotButton="0" quotePrefix="0" xfId="0">
      <alignment wrapText="1"/>
    </xf>
    <xf numFmtId="0" fontId="26" fillId="0" borderId="0" applyAlignment="1" pivotButton="0" quotePrefix="0" xfId="0">
      <alignment wrapText="1"/>
    </xf>
    <xf numFmtId="0" fontId="27" fillId="0" borderId="0" applyAlignment="1" pivotButton="0" quotePrefix="0" xfId="0">
      <alignment wrapText="1"/>
    </xf>
    <xf numFmtId="0" fontId="28" fillId="0" borderId="0" applyAlignment="1" pivotButton="0" quotePrefix="0" xfId="0">
      <alignment wrapText="1"/>
    </xf>
    <xf numFmtId="0" fontId="29" fillId="0" borderId="0" pivotButton="0" quotePrefix="0" xfId="0"/>
    <xf numFmtId="0" fontId="30" fillId="0" borderId="0" pivotButton="0" quotePrefix="0" xfId="0"/>
    <xf numFmtId="0" fontId="31" fillId="0" borderId="0" pivotButton="0" quotePrefix="0" xfId="0"/>
    <xf numFmtId="0" fontId="32" fillId="0" borderId="0" pivotButton="0" quotePrefix="0" xfId="0"/>
    <xf numFmtId="0" fontId="2" fillId="24" borderId="0" pivotButton="0" quotePrefix="0" xfId="0"/>
    <xf numFmtId="0" fontId="9" fillId="2" borderId="0" applyAlignment="1" pivotButton="0" quotePrefix="0" xfId="0">
      <alignment horizontal="left" vertical="center" wrapText="1" indent="1"/>
    </xf>
    <xf numFmtId="0" fontId="12" fillId="4" borderId="0" applyAlignment="1" pivotButton="0" quotePrefix="0" xfId="0">
      <alignment horizontal="left" vertical="center" wrapText="1" indent="1"/>
    </xf>
    <xf numFmtId="0" fontId="2" fillId="21" borderId="0" applyAlignment="1" pivotButton="0" quotePrefix="0" xfId="0">
      <alignment horizontal="center"/>
    </xf>
    <xf numFmtId="0" fontId="9" fillId="2" borderId="2" applyAlignment="1" pivotButton="0" quotePrefix="0" xfId="0">
      <alignment horizontal="left" vertical="center" wrapText="1" indent="1"/>
    </xf>
    <xf numFmtId="0" fontId="12" fillId="4" borderId="2" applyAlignment="1" pivotButton="0" quotePrefix="0" xfId="0">
      <alignment horizontal="left" vertical="center" wrapText="1" indent="1"/>
    </xf>
    <xf numFmtId="0" fontId="0" fillId="0" borderId="0" applyAlignment="1" pivotButton="0" quotePrefix="0" xfId="0">
      <alignment horizontal="center"/>
    </xf>
    <xf numFmtId="0" fontId="0" fillId="0" borderId="0" applyAlignment="1" pivotButton="0" quotePrefix="0" xfId="0">
      <alignment wrapText="1"/>
    </xf>
    <xf numFmtId="0" fontId="19" fillId="21" borderId="0" applyAlignment="1" pivotButton="0" quotePrefix="0" xfId="0">
      <alignment horizontal="center"/>
    </xf>
    <xf numFmtId="0" fontId="20" fillId="22" borderId="0" applyAlignment="1" pivotButton="0" quotePrefix="0" xfId="0">
      <alignment horizontal="center"/>
    </xf>
    <xf numFmtId="0" fontId="0" fillId="25" borderId="0" pivotButton="0" quotePrefix="0" xfId="0"/>
    <xf numFmtId="0" fontId="0" fillId="25" borderId="0" applyAlignment="1" pivotButton="0" quotePrefix="0" xfId="0">
      <alignment wrapText="1"/>
    </xf>
    <xf numFmtId="0" fontId="7" fillId="24" borderId="0" applyAlignment="1" pivotButton="0" quotePrefix="0" xfId="0">
      <alignment horizontal="center" vertical="center" wrapText="1"/>
    </xf>
    <xf numFmtId="0" fontId="4" fillId="26" borderId="0" applyAlignment="1" pivotButton="0" quotePrefix="0" xfId="0">
      <alignment wrapText="1"/>
    </xf>
    <xf numFmtId="0" fontId="0" fillId="0" borderId="4" applyAlignment="1" pivotButton="0" quotePrefix="0" xfId="0">
      <alignment vertical="top" wrapText="1"/>
    </xf>
    <xf numFmtId="0" fontId="2" fillId="16" borderId="4" applyAlignment="1" pivotButton="0" quotePrefix="0" xfId="0">
      <alignment vertical="top" wrapText="1"/>
    </xf>
    <xf numFmtId="0" fontId="2" fillId="24" borderId="4" applyAlignment="1" pivotButton="0" quotePrefix="0" xfId="0">
      <alignment wrapText="1"/>
    </xf>
    <xf numFmtId="0" fontId="2" fillId="24" borderId="4" pivotButton="0" quotePrefix="0" xfId="0"/>
    <xf numFmtId="0" fontId="0" fillId="0" borderId="4" applyAlignment="1" pivotButton="0" quotePrefix="0" xfId="0">
      <alignment wrapText="1"/>
    </xf>
    <xf numFmtId="0" fontId="1" fillId="22" borderId="4" applyAlignment="1" pivotButton="0" quotePrefix="0" xfId="0">
      <alignment wrapText="1"/>
    </xf>
    <xf numFmtId="0" fontId="1" fillId="22" borderId="4" pivotButton="0" quotePrefix="0" xfId="0"/>
    <xf numFmtId="0" fontId="0" fillId="0" borderId="4" pivotButton="0" quotePrefix="0" xfId="0"/>
    <xf numFmtId="0" fontId="2" fillId="27" borderId="4" pivotButton="0" quotePrefix="0" xfId="0"/>
    <xf numFmtId="0" fontId="1" fillId="18" borderId="4" pivotButton="0" quotePrefix="0" xfId="0"/>
    <xf numFmtId="0" fontId="0" fillId="28" borderId="4" pivotButton="0" quotePrefix="0" xfId="0"/>
    <xf numFmtId="0" fontId="0" fillId="29" borderId="4" pivotButton="0" quotePrefix="0" xfId="0"/>
    <xf numFmtId="0" fontId="2" fillId="14" borderId="0" applyAlignment="1" pivotButton="0" quotePrefix="0" xfId="0">
      <alignment wrapText="1"/>
    </xf>
    <xf numFmtId="0" fontId="2" fillId="27" borderId="4" applyAlignment="1" pivotButton="0" quotePrefix="0" xfId="0">
      <alignment wrapText="1"/>
    </xf>
    <xf numFmtId="0" fontId="1" fillId="18" borderId="4" applyAlignment="1" pivotButton="0" quotePrefix="0" xfId="0">
      <alignment wrapText="1"/>
    </xf>
    <xf numFmtId="0" fontId="0" fillId="28" borderId="4" applyAlignment="1" pivotButton="0" quotePrefix="0" xfId="0">
      <alignment wrapText="1"/>
    </xf>
    <xf numFmtId="0" fontId="0" fillId="29" borderId="4" applyAlignment="1" pivotButton="0" quotePrefix="0" xfId="0">
      <alignment wrapText="1"/>
    </xf>
    <xf numFmtId="0" fontId="33" fillId="9" borderId="0" pivotButton="0" quotePrefix="0" xfId="0"/>
    <xf numFmtId="0" fontId="1" fillId="7" borderId="0" pivotButton="0" quotePrefix="0" xfId="0"/>
    <xf numFmtId="0" fontId="2" fillId="27" borderId="4" applyAlignment="1" pivotButton="0" quotePrefix="0" xfId="0">
      <alignment vertical="top" wrapText="1"/>
    </xf>
    <xf numFmtId="0" fontId="1" fillId="32" borderId="4" applyAlignment="1" pivotButton="0" quotePrefix="0" xfId="0">
      <alignment vertical="top" wrapText="1"/>
    </xf>
    <xf numFmtId="0" fontId="1" fillId="33" borderId="4" applyAlignment="1" pivotButton="0" quotePrefix="0" xfId="0">
      <alignment vertical="top" wrapText="1"/>
    </xf>
    <xf numFmtId="0" fontId="1" fillId="35" borderId="4" applyAlignment="1" pivotButton="0" quotePrefix="0" xfId="0">
      <alignment vertical="top" wrapText="1"/>
    </xf>
    <xf numFmtId="0" fontId="1" fillId="32" borderId="4" pivotButton="0" quotePrefix="0" xfId="0"/>
    <xf numFmtId="0" fontId="1" fillId="33" borderId="4" pivotButton="0" quotePrefix="0" xfId="0"/>
    <xf numFmtId="0" fontId="1" fillId="35" borderId="4" pivotButton="0" quotePrefix="0" xfId="0"/>
    <xf numFmtId="0" fontId="34" fillId="9" borderId="0" applyAlignment="1" pivotButton="0" quotePrefix="0" xfId="0">
      <alignment vertical="top" wrapText="1"/>
    </xf>
    <xf numFmtId="0" fontId="34" fillId="37" borderId="0" applyAlignment="1" pivotButton="0" quotePrefix="0" xfId="0">
      <alignment vertical="top" wrapText="1"/>
    </xf>
    <xf numFmtId="0" fontId="34" fillId="17" borderId="0" applyAlignment="1" pivotButton="0" quotePrefix="0" xfId="0">
      <alignment vertical="top" wrapText="1"/>
    </xf>
    <xf numFmtId="0" fontId="8" fillId="0" borderId="0" pivotButton="0" quotePrefix="0" xfId="0"/>
    <xf numFmtId="0" fontId="0" fillId="0" borderId="0" pivotButton="0" quotePrefix="0" xfId="0"/>
    <xf numFmtId="0" fontId="13" fillId="0" borderId="0" pivotButton="0" quotePrefix="0" xfId="0"/>
    <xf numFmtId="0" fontId="14" fillId="2" borderId="0" pivotButton="0" quotePrefix="0" xfId="0"/>
    <xf numFmtId="0" fontId="14" fillId="4" borderId="0" pivotButton="0" quotePrefix="0" xfId="0"/>
    <xf numFmtId="0" fontId="15" fillId="2" borderId="0" pivotButton="0" quotePrefix="0" xfId="0"/>
    <xf numFmtId="0" fontId="25" fillId="0" borderId="0" pivotButton="0" quotePrefix="0" xfId="0"/>
    <xf numFmtId="0" fontId="10" fillId="2" borderId="0" pivotButton="0" quotePrefix="0" xfId="0"/>
    <xf numFmtId="0" fontId="16" fillId="0" borderId="0" pivotButton="0" quotePrefix="0" xfId="0"/>
    <xf numFmtId="0" fontId="2" fillId="24" borderId="0" pivotButton="0" quotePrefix="0" xfId="0"/>
    <xf numFmtId="0" fontId="1" fillId="0" borderId="0" pivotButton="0" quotePrefix="0" xfId="0"/>
    <xf numFmtId="0" fontId="19" fillId="14" borderId="0" pivotButton="0" quotePrefix="0" xfId="0"/>
    <xf numFmtId="0" fontId="33" fillId="7" borderId="0" pivotButton="0" quotePrefix="0" xfId="0"/>
    <xf numFmtId="0" fontId="2" fillId="16" borderId="0" pivotButton="0" quotePrefix="0" xfId="0"/>
    <xf numFmtId="0" fontId="33" fillId="0" borderId="0" pivotButton="0" quotePrefix="0" xfId="0"/>
    <xf numFmtId="0" fontId="2" fillId="30" borderId="4" pivotButton="0" quotePrefix="0" xfId="0"/>
    <xf numFmtId="0" fontId="2" fillId="31" borderId="4" pivotButton="0" quotePrefix="0" xfId="0"/>
    <xf numFmtId="0" fontId="2" fillId="34" borderId="4" pivotButton="0" quotePrefix="0" xfId="0"/>
    <xf numFmtId="0" fontId="2" fillId="36" borderId="4" pivotButton="0" quotePrefix="0" xfId="0"/>
    <xf numFmtId="0" fontId="2" fillId="36" borderId="0" pivotButton="0" quotePrefix="0" xfId="0"/>
    <xf numFmtId="0" fontId="33" fillId="9" borderId="0" pivotButton="0" quotePrefix="0" xfId="0"/>
    <xf numFmtId="0" fontId="17" fillId="0" borderId="0" pivotButton="0" quotePrefix="0" xfId="0"/>
    <xf numFmtId="0" fontId="2" fillId="2" borderId="0" pivotButton="0" quotePrefix="0" xfId="0"/>
    <xf numFmtId="0" fontId="2" fillId="4" borderId="0" pivotButton="0" quotePrefix="0" xfId="0"/>
    <xf numFmtId="0" fontId="2" fillId="14" borderId="0" pivotButton="0" quotePrefix="0" xfId="0"/>
    <xf numFmtId="0" fontId="18" fillId="18" borderId="0" pivotButton="0" quotePrefix="0" xfId="0"/>
    <xf numFmtId="0" fontId="2" fillId="20" borderId="0" pivotButton="0" quotePrefix="0" xfId="0"/>
    <xf numFmtId="0" fontId="0" fillId="0" borderId="2" pivotButton="0" quotePrefix="0" xfId="0"/>
    <xf numFmtId="0" fontId="0" fillId="0" borderId="9" pivotButton="0" quotePrefix="0" xfId="0"/>
    <xf numFmtId="0" fontId="0" fillId="0" borderId="7" pivotButton="0" quotePrefix="0" xfId="0"/>
    <xf numFmtId="0" fontId="0" fillId="0" borderId="8" pivotButton="0" quotePrefix="0" xfId="0"/>
    <xf numFmtId="0" fontId="0" fillId="0" borderId="12" pivotButton="0" quotePrefix="0" xfId="0"/>
    <xf numFmtId="0" fontId="0" fillId="0" borderId="13" pivotButton="0" quotePrefix="0" xfId="0"/>
    <xf numFmtId="0" fontId="35" fillId="38" borderId="9" pivotButton="0" quotePrefix="0" xfId="0"/>
    <xf numFmtId="0" fontId="3" fillId="0" borderId="9" applyAlignment="1" pivotButton="0" quotePrefix="0" xfId="0">
      <alignment wrapText="1"/>
    </xf>
    <xf numFmtId="0" fontId="36" fillId="39" borderId="0" applyAlignment="1" pivotButton="0" quotePrefix="0" xfId="0">
      <alignment horizontal="left" vertical="center" wrapText="1" indent="1"/>
    </xf>
    <xf numFmtId="0" fontId="37" fillId="40" borderId="0" applyAlignment="1" pivotButton="0" quotePrefix="0" xfId="0">
      <alignment horizontal="center"/>
    </xf>
    <xf numFmtId="0" fontId="38" fillId="41" borderId="9" pivotButton="0" quotePrefix="0" xfId="0"/>
    <xf numFmtId="0" fontId="39" fillId="41" borderId="0" pivotButton="0" quotePrefix="0" xfId="0"/>
    <xf numFmtId="0" fontId="38" fillId="0" borderId="9" pivotButton="0" quotePrefix="0" xfId="0"/>
    <xf numFmtId="0" fontId="37" fillId="39" borderId="0" applyAlignment="1" pivotButton="0" quotePrefix="0" xfId="0">
      <alignment horizontal="left" vertical="center" wrapText="1" indent="1"/>
    </xf>
    <xf numFmtId="0" fontId="39" fillId="4" borderId="0" applyAlignment="1" pivotButton="0" quotePrefix="0" xfId="0">
      <alignment horizontal="left" vertical="center" wrapText="1" indent="1"/>
    </xf>
    <xf numFmtId="0" fontId="40" fillId="38" borderId="0" pivotButton="0" quotePrefix="0" xfId="0"/>
    <xf numFmtId="0" fontId="38" fillId="42" borderId="9" pivotButton="0" quotePrefix="0" xfId="0"/>
    <xf numFmtId="0" fontId="38" fillId="42" borderId="9" applyAlignment="1" pivotButton="0" quotePrefix="0" xfId="0">
      <alignment wrapText="1"/>
    </xf>
    <xf numFmtId="0" fontId="0" fillId="0" borderId="9" applyAlignment="1" pivotButton="0" quotePrefix="0" xfId="0">
      <alignment wrapText="1"/>
    </xf>
    <xf numFmtId="0" fontId="40" fillId="38" borderId="0" applyAlignment="1" pivotButton="0" quotePrefix="0" xfId="0">
      <alignment wrapText="1"/>
    </xf>
    <xf numFmtId="0" fontId="38" fillId="43" borderId="9" applyAlignment="1" pivotButton="0" quotePrefix="0" xfId="0">
      <alignment wrapText="1"/>
    </xf>
    <xf numFmtId="0" fontId="4" fillId="0" borderId="9" applyAlignment="1" pivotButton="0" quotePrefix="0" xfId="0">
      <alignment wrapText="1"/>
    </xf>
    <xf numFmtId="0" fontId="38" fillId="43" borderId="9" pivotButton="0" quotePrefix="0" xfId="0"/>
    <xf numFmtId="0" fontId="1" fillId="8" borderId="9" pivotButton="0" quotePrefix="0" xfId="0"/>
    <xf numFmtId="9" fontId="0" fillId="0" borderId="9" pivotButton="0" quotePrefix="0" xfId="0"/>
    <xf numFmtId="0" fontId="39" fillId="0" borderId="0" pivotButton="0" quotePrefix="0" xfId="0"/>
    <xf numFmtId="0" fontId="1" fillId="9" borderId="9" pivotButton="0" quotePrefix="0" xfId="0"/>
    <xf numFmtId="0" fontId="0" fillId="9" borderId="9"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36" fillId="44" borderId="0" pivotButton="0" quotePrefix="0" xfId="0"/>
    <xf numFmtId="0" fontId="38" fillId="45" borderId="9" pivotButton="0" quotePrefix="0" xfId="0"/>
    <xf numFmtId="0" fontId="0" fillId="43" borderId="9" pivotButton="0" quotePrefix="0" xfId="0"/>
    <xf numFmtId="0" fontId="43" fillId="0" borderId="0" applyAlignment="1" pivotButton="0" quotePrefix="0" xfId="0">
      <alignment horizontal="center"/>
    </xf>
    <xf numFmtId="0" fontId="37" fillId="39" borderId="0" pivotButton="0" quotePrefix="0" xfId="0"/>
    <xf numFmtId="0" fontId="0" fillId="46" borderId="9" pivotButton="0" quotePrefix="0" xfId="0"/>
    <xf numFmtId="0" fontId="0" fillId="47" borderId="9" pivotButton="0" quotePrefix="0" xfId="0"/>
    <xf numFmtId="0" fontId="0" fillId="48" borderId="9" pivotButton="0" quotePrefix="0" xfId="0"/>
    <xf numFmtId="0" fontId="48" fillId="0" borderId="0" pivotButton="0" quotePrefix="0" xfId="0"/>
    <xf numFmtId="0" fontId="0" fillId="49" borderId="14" pivotButton="0" quotePrefix="0" xfId="0"/>
    <xf numFmtId="0" fontId="47" fillId="0" borderId="0" pivotButton="0" quotePrefix="0" xfId="0"/>
    <xf numFmtId="0" fontId="38" fillId="0" borderId="0" pivotButton="0" quotePrefix="0" xfId="0"/>
    <xf numFmtId="0" fontId="46" fillId="44" borderId="14" pivotButton="0" quotePrefix="0" xfId="0"/>
    <xf numFmtId="0" fontId="0" fillId="0" borderId="14" pivotButton="0" quotePrefix="0" xfId="0"/>
    <xf numFmtId="0" fontId="0" fillId="0" borderId="14" applyAlignment="1" pivotButton="0" quotePrefix="0" xfId="0">
      <alignment wrapText="1"/>
    </xf>
    <xf numFmtId="0" fontId="0" fillId="51" borderId="14" pivotButton="0" quotePrefix="0" xfId="0"/>
    <xf numFmtId="0" fontId="0" fillId="51" borderId="14" applyAlignment="1" pivotButton="0" quotePrefix="0" xfId="0">
      <alignment wrapText="1"/>
    </xf>
    <xf numFmtId="0" fontId="44" fillId="0" borderId="0" pivotButton="0" quotePrefix="0" xfId="0"/>
    <xf numFmtId="0" fontId="45" fillId="49" borderId="0" pivotButton="0" quotePrefix="0" xfId="0"/>
    <xf numFmtId="0" fontId="0" fillId="50" borderId="0" pivotButton="0" quotePrefix="0" xfId="0"/>
    <xf numFmtId="0" fontId="46" fillId="44" borderId="14" applyAlignment="1" pivotButton="0" quotePrefix="0" xfId="0">
      <alignment horizontal="center" vertical="center" wrapText="1"/>
    </xf>
    <xf numFmtId="0" fontId="0" fillId="50" borderId="14" pivotButton="0" quotePrefix="0" xfId="0"/>
  </cellXfs>
  <cellStyles count="1">
    <cellStyle name="Normal" xfId="0" builtinId="0"/>
  </cellStyles>
  <dxfs count="232">
    <dxf>
      <alignment wrapText="1"/>
    </dxf>
    <dxf>
      <alignment wrapText="1"/>
    </dxf>
    <dxf>
      <border outline="0">
        <bottom style="thin">
          <color auto="1"/>
        </bottom>
      </border>
    </dxf>
    <dxf>
      <border outline="0">
        <top style="thin">
          <color auto="1"/>
        </top>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
      <font>
        <color rgb="FF0563C1"/>
        <u val="single"/>
      </font>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ill>
        <patternFill patternType="solid">
          <fgColor indexed="64"/>
          <bgColor rgb="FFC6EFCE"/>
        </patternFill>
      </fill>
    </dxf>
    <dxf>
      <fill>
        <patternFill patternType="solid">
          <fgColor indexed="64"/>
          <bgColor rgb="FFBDD7EE"/>
        </patternFill>
      </fill>
    </dxf>
    <dxf>
      <fill>
        <patternFill patternType="solid">
          <fgColor indexed="64"/>
          <bgColor rgb="FFFFEB9C"/>
        </patternFill>
      </fill>
    </dxf>
    <dxf>
      <fill>
        <patternFill patternType="solid">
          <fgColor indexed="64"/>
          <bgColor rgb="FFFFCC99"/>
        </patternFill>
      </fill>
    </dxf>
    <dxf>
      <fill>
        <patternFill patternType="solid">
          <fgColor indexed="64"/>
          <bgColor rgb="FFFFC7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78D4"/>
      </font>
      <fill>
        <patternFill patternType="solid">
          <fgColor indexed="64"/>
          <bgColor rgb="FFDEECF9"/>
        </patternFill>
      </fill>
    </dxf>
    <dxf>
      <font>
        <color rgb="FF666666"/>
      </font>
      <fill>
        <patternFill patternType="solid">
          <fgColor indexed="64"/>
          <bgColor rgb="FFE0E0E0"/>
        </patternFill>
      </fill>
    </dxf>
    <dxf>
      <font>
        <color rgb="FF9C6500"/>
      </font>
      <fill>
        <patternFill patternType="solid">
          <fgColor indexed="64"/>
          <bgColor rgb="FFFFEB9C"/>
        </patternFill>
      </fill>
    </dxf>
    <dxf>
      <font>
        <b val="1"/>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666666"/>
      </font>
      <fill>
        <patternFill patternType="solid">
          <fgColor indexed="64"/>
          <bgColor rgb="FFD9D9D9"/>
        </patternFill>
      </fill>
    </dxf>
    <dxf>
      <font>
        <color rgb="FF9C6500"/>
      </font>
      <fill>
        <patternFill patternType="solid">
          <fgColor indexed="64"/>
          <bgColor rgb="FFFFEB9C"/>
        </patternFill>
      </fill>
    </dxf>
    <dxf>
      <font>
        <b val="1"/>
        <color rgb="FF9C0006"/>
      </font>
      <fill>
        <patternFill patternType="solid">
          <fgColor indexed="64"/>
          <bgColor rgb="FFFFC7CE"/>
        </patternFill>
      </fill>
    </dxf>
    <dxf>
      <font>
        <color rgb="FF9C6500"/>
      </font>
      <fill>
        <patternFill patternType="solid">
          <fgColor indexed="64"/>
          <bgColor rgb="FFFFEB9C"/>
        </patternFill>
      </fill>
    </dxf>
    <dxf>
      <font>
        <b val="1"/>
        <color rgb="FF9C0006"/>
      </font>
      <fill>
        <patternFill patternType="solid">
          <fgColor indexed="64"/>
          <bgColor rgb="FFFFC7CE"/>
        </patternFill>
      </fill>
    </dxf>
    <dxf>
      <font>
        <color rgb="FF9C6500"/>
      </font>
      <fill>
        <patternFill patternType="solid">
          <fgColor indexed="64"/>
          <bgColor rgb="FFFFEB9C"/>
        </patternFill>
      </fill>
    </dxf>
    <dxf>
      <font>
        <b val="1"/>
        <color rgb="FF9C0006"/>
      </font>
      <fill>
        <patternFill patternType="solid">
          <fgColor indexed="64"/>
          <bgColor rgb="FFFFC7CE"/>
        </patternFill>
      </fill>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color rgb="FF9C6500"/>
      </font>
      <fill>
        <patternFill patternType="solid">
          <fgColor indexed="64"/>
          <bgColor rgb="FFFFEB9C"/>
        </patternFill>
      </fill>
    </dxf>
    <dxf>
      <font>
        <b val="1"/>
        <color rgb="FF9C0006"/>
      </font>
      <fill>
        <patternFill patternType="solid">
          <fgColor indexed="64"/>
          <bgColor rgb="FFFFC7CE"/>
        </patternFill>
      </fill>
    </dxf>
    <dxf>
      <font>
        <b val="1"/>
        <color rgb="FFFFFFFF"/>
      </font>
      <fill>
        <patternFill patternType="solid">
          <fgColor indexed="64"/>
          <bgColor rgb="FF9C0006"/>
        </patternFill>
      </fill>
    </dxf>
    <dxf>
      <fill>
        <patternFill patternType="solid">
          <fgColor indexed="64"/>
          <bgColor rgb="FFF2F2F2"/>
        </patternFill>
      </fill>
    </dxf>
    <dxf>
      <fill>
        <patternFill patternType="solid">
          <fgColor indexed="64"/>
          <bgColor rgb="FFFFEB9C"/>
        </patternFill>
      </fill>
    </dxf>
    <dxf>
      <font>
        <b val="1"/>
      </font>
      <fill>
        <patternFill patternType="solid">
          <fgColor indexed="64"/>
          <bgColor rgb="FFC6EFCE"/>
        </patternFill>
      </fill>
    </dxf>
    <dxf>
      <font>
        <b val="1"/>
      </font>
      <fill>
        <patternFill patternType="solid">
          <fgColor indexed="64"/>
          <bgColor rgb="FFBDD7EE"/>
        </patternFill>
      </fill>
    </dxf>
    <dxf>
      <fill>
        <patternFill patternType="solid">
          <fgColor indexed="64"/>
          <bgColor rgb="FFF2F2F2"/>
        </patternFill>
      </fill>
    </dxf>
    <dxf>
      <fill>
        <patternFill patternType="solid">
          <fgColor indexed="64"/>
          <bgColor rgb="FFFFEB9C"/>
        </patternFill>
      </fill>
    </dxf>
    <dxf>
      <font>
        <b val="1"/>
      </font>
      <fill>
        <patternFill patternType="solid">
          <fgColor indexed="64"/>
          <bgColor rgb="FFC6EFCE"/>
        </patternFill>
      </fill>
    </dxf>
    <dxf>
      <font>
        <b val="1"/>
      </font>
      <fill>
        <patternFill patternType="solid">
          <fgColor indexed="64"/>
          <bgColor rgb="FFBDD7EE"/>
        </patternFill>
      </fill>
    </dxf>
    <dxf>
      <fill>
        <patternFill patternType="solid">
          <fgColor indexed="64"/>
          <bgColor rgb="FFF2F2F2"/>
        </patternFill>
      </fill>
    </dxf>
    <dxf>
      <fill>
        <patternFill patternType="solid">
          <fgColor indexed="64"/>
          <bgColor rgb="FFFFEB9C"/>
        </patternFill>
      </fill>
    </dxf>
    <dxf>
      <font>
        <b val="1"/>
      </font>
      <fill>
        <patternFill patternType="solid">
          <fgColor indexed="64"/>
          <bgColor rgb="FFC6EFCE"/>
        </patternFill>
      </fill>
    </dxf>
    <dxf>
      <font>
        <b val="1"/>
      </font>
      <fill>
        <patternFill patternType="solid">
          <fgColor indexed="64"/>
          <bgColor rgb="FFBDD7EE"/>
        </patternFill>
      </fill>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9"/>
      </font>
      <fill>
        <patternFill patternType="solid">
          <fgColor indexed="64"/>
          <bgColor rgb="FFFCE4D6"/>
        </patternFill>
      </fil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numFmt numFmtId="0" formatCode="Genera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ill>
        <patternFill patternType="solid">
          <fgColor indexed="64"/>
          <bgColor rgb="FFFFFF00"/>
        </patternFill>
      </fill>
    </dxf>
    <dxf>
      <font>
        <b val="1"/>
      </font>
      <fill>
        <patternFill patternType="solid">
          <fgColor indexed="64"/>
          <bgColor rgb="FFFFC000"/>
        </patternFill>
      </fill>
    </dxf>
    <dxf>
      <font>
        <b val="1"/>
        <color rgb="FFFFFFFF"/>
      </font>
      <fill>
        <patternFill patternType="solid">
          <fgColor indexed="64"/>
          <bgColor rgb="FFFF0000"/>
        </patternFill>
      </fill>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9C6500"/>
      </font>
      <fill>
        <patternFill patternType="solid">
          <fgColor indexed="64"/>
          <bgColor rgb="FFFFEB9C"/>
        </patternFill>
      </fill>
    </dxf>
    <dxf>
      <font>
        <color rgb="FF974706"/>
      </font>
      <fill>
        <patternFill patternType="solid">
          <fgColor indexed="64"/>
          <bgColor rgb="FFFFCC99"/>
        </patternFill>
      </fill>
    </dxf>
    <dxf>
      <font>
        <color rgb="FF9C0006"/>
      </font>
      <fill>
        <patternFill patternType="solid">
          <fgColor indexed="64"/>
          <bgColor rgb="FFFFC7CE"/>
        </patternFill>
      </fill>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9"/>
      </font>
      <fill>
        <patternFill patternType="solid">
          <fgColor indexed="64"/>
          <bgColor rgb="FFDDEBF7"/>
        </patternFill>
      </fil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numFmt numFmtId="0" formatCode="Genera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strike val="0"/>
        <outline val="0"/>
        <shadow val="0"/>
        <condense val="0"/>
        <color rgb="FF323130"/>
        <extend val="0"/>
        <sz val="11"/>
        <vertAlign val="baseline"/>
      </font>
      <alignment horizontal="general" vertical="bottom" wrapText="1"/>
    </dxf>
    <dxf>
      <font>
        <name val="Segoe UI"/>
        <strike val="0"/>
        <outline val="0"/>
        <shadow val="0"/>
        <condense val="0"/>
        <color rgb="FF323130"/>
        <extend val="0"/>
        <sz val="11"/>
        <vertAlign val="baseline"/>
      </font>
      <alignment horizontal="general" vertical="bottom" wrapText="1"/>
    </dxf>
    <dxf>
      <font>
        <name val="Segoe UI"/>
        <strike val="0"/>
        <outline val="0"/>
        <shadow val="0"/>
        <condense val="0"/>
        <color rgb="FF323130"/>
        <extend val="0"/>
        <sz val="11"/>
        <vertAlign val="baseline"/>
      </font>
      <alignment horizontal="general" vertical="bottom"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9C6500"/>
      </font>
      <fill>
        <patternFill patternType="solid">
          <fgColor indexed="64"/>
          <bgColor rgb="FFFFEB9C"/>
        </patternFill>
      </fill>
    </dxf>
    <dxf>
      <font>
        <color rgb="FF974706"/>
      </font>
      <fill>
        <patternFill patternType="solid">
          <fgColor indexed="64"/>
          <bgColor rgb="FFFFCC99"/>
        </patternFill>
      </fill>
    </dxf>
    <dxf>
      <font>
        <color rgb="FF9C0006"/>
      </font>
      <fill>
        <patternFill patternType="solid">
          <fgColor indexed="64"/>
          <bgColor rgb="FFFFC7CE"/>
        </patternFill>
      </fill>
    </dxf>
    <dxf>
      <font>
        <name val="Segoe UI"/>
        <color rgb="FF323130"/>
        <sz val="11"/>
      </font>
      <alignment vertical="top" wrapText="1"/>
    </dxf>
    <dxf>
      <font>
        <name val="Segoe UI"/>
        <color rgb="FF323130"/>
        <sz val="11"/>
      </font>
      <alignment vertical="top" wrapText="1"/>
    </dxf>
    <dxf>
      <font>
        <name val="Segoe UI"/>
        <color rgb="FF323130"/>
        <sz val="11"/>
      </font>
      <alignment vertical="top"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9"/>
      </font>
      <fill>
        <patternFill patternType="solid">
          <fgColor indexed="64"/>
          <bgColor rgb="FFE2EFDA"/>
        </patternFill>
      </fil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numFmt numFmtId="0" formatCode="General"/>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strike val="0"/>
        <outline val="0"/>
        <shadow val="0"/>
        <condense val="0"/>
        <color rgb="FF323130"/>
        <extend val="0"/>
        <sz val="11"/>
        <vertAlign val="baseline"/>
      </font>
      <alignment horizontal="general" vertical="bottom" wrapText="1"/>
    </dxf>
    <dxf>
      <font>
        <name val="Segoe UI"/>
        <strike val="0"/>
        <outline val="0"/>
        <shadow val="0"/>
        <condense val="0"/>
        <color rgb="FF323130"/>
        <extend val="0"/>
        <sz val="11"/>
        <vertAlign val="baseline"/>
      </font>
      <alignment horizontal="general" vertical="bottom" wrapText="1"/>
    </dxf>
    <dxf>
      <font>
        <name val="Segoe UI"/>
        <strike val="0"/>
        <outline val="0"/>
        <shadow val="0"/>
        <condense val="0"/>
        <color rgb="FF323130"/>
        <extend val="0"/>
        <sz val="11"/>
        <vertAlign val="baseline"/>
      </font>
      <alignment horizontal="general" vertical="bottom"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0000"/>
      </font>
      <fill>
        <patternFill patternType="solid">
          <fgColor indexed="64"/>
          <bgColor rgb="FFD9E1F2"/>
        </patternFill>
      </fill>
    </dxf>
    <dxf>
      <font>
        <color rgb="FF000000"/>
      </font>
      <fill>
        <patternFill patternType="solid">
          <fgColor indexed="64"/>
          <bgColor rgb="FFE2F0D9"/>
        </patternFill>
      </fill>
    </dxf>
    <dxf>
      <font>
        <color rgb="FF000000"/>
      </font>
      <fill>
        <patternFill patternType="solid">
          <fgColor indexed="64"/>
          <bgColor rgb="FFFCE4D6"/>
        </patternFill>
      </fill>
    </dxf>
    <dxf>
      <font>
        <color rgb="FF000000"/>
      </font>
      <fill>
        <patternFill patternType="solid">
          <fgColor indexed="64"/>
          <bgColor rgb="FFFFF2CC"/>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9C6500"/>
      </font>
      <fill>
        <patternFill patternType="solid">
          <fgColor indexed="64"/>
          <bgColor rgb="FFFFEB9C"/>
        </patternFill>
      </fill>
    </dxf>
    <dxf>
      <font>
        <color rgb="FF974706"/>
      </font>
      <fill>
        <patternFill patternType="solid">
          <fgColor indexed="64"/>
          <bgColor rgb="FFFFCC99"/>
        </patternFill>
      </fill>
    </dxf>
    <dxf>
      <font>
        <color rgb="FF9C0006"/>
      </font>
      <fill>
        <patternFill patternType="solid">
          <fgColor indexed="64"/>
          <bgColor rgb="FFFFC7CE"/>
        </patternFill>
      </fill>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color rgb="FF323130"/>
        <sz val="11"/>
      </font>
      <alignment wrapText="1"/>
    </dxf>
    <dxf>
      <font>
        <name val="Segoe UI"/>
        <b val="1"/>
        <color rgb="FF0078D4"/>
        <sz val="11"/>
      </font>
      <fill>
        <patternFill patternType="solid">
          <fgColor indexed="64"/>
          <bgColor rgb="FFFFFFFF"/>
        </patternFill>
      </fill>
      <alignment horizontal="center" vertical="center" wrapText="1"/>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FFFFFF"/>
      </font>
      <fill>
        <patternFill patternType="solid">
          <fgColor indexed="64"/>
          <bgColor rgb="FF107C10"/>
        </patternFill>
      </fill>
    </dxf>
    <dxf>
      <font>
        <color rgb="FF323130"/>
      </font>
      <fill>
        <patternFill patternType="solid">
          <fgColor indexed="64"/>
          <bgColor rgb="FFFFB900"/>
        </patternFill>
      </fill>
    </dxf>
    <dxf>
      <font>
        <color rgb="FFFFFFFF"/>
      </font>
      <fill>
        <patternFill patternType="solid">
          <fgColor indexed="64"/>
          <bgColor rgb="FFD83B01"/>
        </patternFill>
      </fill>
    </dxf>
    <dxf>
      <font>
        <color rgb="FF9C0006"/>
      </font>
      <fill>
        <patternFill patternType="solid">
          <fgColor indexed="64"/>
          <bgColor rgb="FFFFC7CE"/>
        </patternFill>
      </fill>
    </dxf>
    <dxf>
      <font>
        <color rgb="FF974706"/>
      </font>
      <fill>
        <patternFill patternType="solid">
          <fgColor indexed="64"/>
          <bgColor rgb="FFFFCC99"/>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ables/table1.xml><?xml version="1.0" encoding="utf-8"?>
<table xmlns="http://schemas.openxmlformats.org/spreadsheetml/2006/main" id="1" name="TblZones" displayName="TblZones" ref="A2:E5" headerRowCount="1" totalsRowShown="0" headerRowDxfId="221" dataDxfId="220">
  <autoFilter ref="A2:E5"/>
  <tableColumns count="5">
    <tableColumn id="1" name="Zone" dataDxfId="219"/>
    <tableColumn id="2" name="Name" dataDxfId="218"/>
    <tableColumn id="3" name="Purpose" dataDxfId="217"/>
    <tableColumn id="4" name="Risk Level" dataDxfId="216"/>
    <tableColumn id="5" name="Data Access" dataDxfId="215"/>
  </tableColumns>
  <tableStyleInfo name="TableStyleMedium2" showFirstColumn="0" showLastColumn="0" showRowStripes="1" showColumnStripes="0"/>
</table>
</file>

<file path=xl/tables/table2.xml><?xml version="1.0" encoding="utf-8"?>
<table xmlns="http://schemas.openxmlformats.org/spreadsheetml/2006/main" id="2" name="TblAdminRoles" displayName="TblAdminRoles" ref="A1:E13" headerRowCount="1" totalsRowShown="0" headerRowDxfId="214" dataDxfId="213">
  <autoFilter ref="A1:E13"/>
  <tableColumns count="5">
    <tableColumn id="1" name="Role" dataDxfId="212"/>
    <tableColumn id="2" name="Scope" dataDxfId="211"/>
    <tableColumn id="3" name="FSI Use Cases" dataDxfId="210"/>
    <tableColumn id="4" name="Compliance Relevance" dataDxfId="209"/>
    <tableColumn id="5" name="Reporting Line" dataDxfId="208"/>
  </tableColumns>
  <tableStyleInfo name="TableStyleMedium2" showFirstColumn="0" showLastColumn="0" showRowStripes="1" showColumnStripes="0"/>
</table>
</file>

<file path=xl/tables/table3.xml><?xml version="1.0" encoding="utf-8"?>
<table xmlns="http://schemas.openxmlformats.org/spreadsheetml/2006/main" id="3" name="TblFSIGuidance" displayName="TblFSIGuidance" ref="A16:D18" headerRowCount="1" totalsRowShown="0" headerRowDxfId="207" dataDxfId="206">
  <autoFilter ref="A16:D18"/>
  <tableColumns count="4">
    <tableColumn id="1" name="Principle of Least Privilege" dataDxfId="205"/>
    <tableColumn id="2" name="Assign only minimum permissions needed for role" dataDxfId="204"/>
    <tableColumn id="3" name="Most users need only Environment Maker role" dataDxfId="203"/>
    <tableColumn id="4" name="Notes" dataDxfId="202"/>
  </tableColumns>
  <tableStyleInfo name="TableStyleMedium2" showFirstColumn="0" showLastColumn="0" showRowStripes="1" showColumnStripes="0"/>
</table>
</file>

<file path=xl/tables/table4.xml><?xml version="1.0" encoding="utf-8"?>
<table xmlns="http://schemas.openxmlformats.org/spreadsheetml/2006/main" id="4" name="TblSecurityControlsList" displayName="TblSecurityControlsList" ref="A2:P10" headerRowCount="1" totalsRowShown="0" headerRowDxfId="188" dataDxfId="187">
  <autoFilter ref="A2:P10"/>
  <tableColumns count="16">
    <tableColumn id="1" name="Control ID" dataDxfId="186"/>
    <tableColumn id="2" name="Control Name" dataDxfId="185"/>
    <tableColumn id="3" name="Primary Regulatory Reference" dataDxfId="184"/>
    <tableColumn id="4" name="Notes" dataDxfId="183"/>
    <tableColumn id="13" name="Setup Time" dataDxfId="182"/>
    <tableColumn id="14" name="Time Breakdown" dataDxfId="181"/>
    <tableColumn id="15" name="Recurring Review" dataDxfId="180"/>
    <tableColumn id="5" name="Current State" dataDxfId="179"/>
    <tableColumn id="6" name="Evidence Location" dataDxfId="178"/>
    <tableColumn id="7" name="Target Date" dataDxfId="177"/>
    <tableColumn id="8" name="Owner" dataDxfId="176"/>
    <tableColumn id="9" name="Gap Priority" dataDxfId="175">
      <calculatedColumnFormula>IF(TblSecurityControlsList[[#This Row],[Current State]]="","NOT ASSESSED",IF(OR(TblSecurityControlsList[[#This Row],[Current State]]="Level 0 - None",TblSecurityControlsList[[#This Row],[Current State]]="Level 1 - Initial"),"HIGH",IF(TblSecurityControlsList[[#This Row],[Current State]]="Level 2 - Developing","MEDIUM","LOW")))</calculatedColumnFormula>
    </tableColumn>
    <tableColumn id="10" name="Baseline capability" dataDxfId="174"/>
    <tableColumn id="11" name="Recommended capability" dataDxfId="173"/>
    <tableColumn id="12" name="Regulated/High-risk capability" dataDxfId="172"/>
    <tableColumn id="16" name="Verification Steps" dataDxfId="171"/>
  </tableColumns>
  <tableStyleInfo name="TableStyleMedium2" showFirstColumn="0" showLastColumn="0" showRowStripes="1" showColumnStripes="0"/>
</table>
</file>

<file path=xl/tables/table5.xml><?xml version="1.0" encoding="utf-8"?>
<table xmlns="http://schemas.openxmlformats.org/spreadsheetml/2006/main" id="5" name="TblSecurityMatrix" displayName="TblSecurityMatrix" ref="A13:D21" headerRowCount="1" totalsRowShown="0" headerRowDxfId="170" dataDxfId="169">
  <autoFilter ref="A13:D21"/>
  <tableColumns count="4">
    <tableColumn id="1" name="Control" dataDxfId="168"/>
    <tableColumn id="2" name="Zone 1" dataDxfId="167"/>
    <tableColumn id="3" name="Zone 2" dataDxfId="166"/>
    <tableColumn id="4" name="Zone 3" dataDxfId="165"/>
  </tableColumns>
  <tableStyleInfo name="TableStyleMedium2" showFirstColumn="0" showLastColumn="0" showRowStripes="1" showColumnStripes="0"/>
</table>
</file>

<file path=xl/tables/table6.xml><?xml version="1.0" encoding="utf-8"?>
<table xmlns="http://schemas.openxmlformats.org/spreadsheetml/2006/main" id="6" name="TblManagementControlsList" displayName="TblManagementControlsList" ref="A2:P8" headerRowCount="1" totalsRowShown="0" headerRowDxfId="151" dataDxfId="150">
  <autoFilter ref="A2:P8"/>
  <tableColumns count="16">
    <tableColumn id="1" name="Control ID" dataDxfId="149"/>
    <tableColumn id="2" name="Control Name" dataDxfId="148"/>
    <tableColumn id="3" name="Primary Regulatory Reference" dataDxfId="147"/>
    <tableColumn id="4" name="Notes" dataDxfId="146"/>
    <tableColumn id="13" name="Setup Time" dataDxfId="145"/>
    <tableColumn id="14" name="Time Breakdown" dataDxfId="144"/>
    <tableColumn id="15" name="Recurring Review" dataDxfId="143"/>
    <tableColumn id="5" name="Current State" dataDxfId="142"/>
    <tableColumn id="6" name="Evidence Location" dataDxfId="141"/>
    <tableColumn id="7" name="Target Date" dataDxfId="140"/>
    <tableColumn id="8" name="Owner" dataDxfId="139"/>
    <tableColumn id="9" name="Gap Priority" dataDxfId="138">
      <calculatedColumnFormula>IF(TblManagementControlsList[[#This Row],[Current State]]="","NOT ASSESSED",IF(OR(TblManagementControlsList[[#This Row],[Current State]]="Level 0 - None",TblManagementControlsList[[#This Row],[Current State]]="Level 1 - Initial"),"HIGH",IF(TblManagementControlsList[[#This Row],[Current State]]="Level 2 - Developing","MEDIUM","LOW")))</calculatedColumnFormula>
    </tableColumn>
    <tableColumn id="10" name="Baseline capability" dataDxfId="137"/>
    <tableColumn id="11" name="Recommended capability" dataDxfId="136"/>
    <tableColumn id="12" name="Regulated/High-risk capability" dataDxfId="135"/>
    <tableColumn id="16" name="Verification Steps" dataDxfId="134"/>
  </tableColumns>
  <tableStyleInfo name="TableStyleMedium2" showFirstColumn="0" showLastColumn="0" showRowStripes="1" showColumnStripes="0"/>
</table>
</file>

<file path=xl/tables/table7.xml><?xml version="1.0" encoding="utf-8"?>
<table xmlns="http://schemas.openxmlformats.org/spreadsheetml/2006/main" id="7" name="TblManagementMatrix" displayName="TblManagementMatrix" ref="A11:D19" headerRowCount="1" totalsRowShown="0" headerRowDxfId="133" dataDxfId="132">
  <autoFilter ref="A11:D19"/>
  <tableColumns count="4">
    <tableColumn id="1" name="Control" dataDxfId="131"/>
    <tableColumn id="2" name="Zone 1" dataDxfId="130"/>
    <tableColumn id="3" name="Zone 2" dataDxfId="129"/>
    <tableColumn id="4" name="Zone 3" dataDxfId="128"/>
  </tableColumns>
  <tableStyleInfo name="TableStyleMedium2" showFirstColumn="0" showLastColumn="0" showRowStripes="1" showColumnStripes="0"/>
</table>
</file>

<file path=xl/tables/table8.xml><?xml version="1.0" encoding="utf-8"?>
<table xmlns="http://schemas.openxmlformats.org/spreadsheetml/2006/main" id="8" name="TblReportingControlsList" displayName="TblReportingControlsList" ref="A2:M6" headerRowCount="1" totalsRowShown="0" headerRowDxfId="111" dataDxfId="110">
  <autoFilter ref="A2:M6"/>
  <tableColumns count="13">
    <tableColumn id="1" name="Control ID" dataDxfId="109"/>
    <tableColumn id="2" name="Control Name" dataDxfId="108"/>
    <tableColumn id="3" name="Primary Regulatory Reference" dataDxfId="107"/>
    <tableColumn id="4" name="Notes" dataDxfId="106"/>
    <tableColumn id="5" name="Current State" dataDxfId="105"/>
    <tableColumn id="6" name="Evidence Location" dataDxfId="104"/>
    <tableColumn id="7" name="Target Date" dataDxfId="103"/>
    <tableColumn id="8" name="Owner" dataDxfId="102"/>
    <tableColumn id="9" name="Gap Priority" dataDxfId="101">
      <calculatedColumnFormula>IF(TblReportingControlsList[[#This Row],[Current State]]="","NOT ASSESSED",IF(OR(TblReportingControlsList[[#This Row],[Current State]]="Level 0 - None",TblReportingControlsList[[#This Row],[Current State]]="Level 1 - Initial"),"HIGH",IF(TblReportingControlsList[[#This Row],[Current State]]="Level 2 - Developing","MEDIUM","LOW")))</calculatedColumnFormula>
    </tableColumn>
    <tableColumn id="10" name="Baseline capability" dataDxfId="100"/>
    <tableColumn id="11" name="Recommended capability" dataDxfId="99"/>
    <tableColumn id="12" name="Regulated/High-risk capability" dataDxfId="98"/>
    <tableColumn id="13" name="Verification Steps" dataDxfId="97"/>
  </tableColumns>
  <tableStyleInfo name="TableStyleMedium2" showFirstColumn="0" showLastColumn="0" showRowStripes="1" showColumnStripes="0"/>
</table>
</file>

<file path=xl/tables/table9.xml><?xml version="1.0" encoding="utf-8"?>
<table xmlns="http://schemas.openxmlformats.org/spreadsheetml/2006/main" id="9" name="TblReportingFrequency" displayName="TblReportingFrequency" ref="A9:D13" headerRowCount="1" totalsRowShown="0" headerRowDxfId="96" dataDxfId="95">
  <autoFilter ref="A9:D13"/>
  <tableColumns count="4">
    <tableColumn id="1" name="Reporting Type" dataDxfId="94"/>
    <tableColumn id="2" name="Zone 1" dataDxfId="93"/>
    <tableColumn id="3" name="Zone 2" dataDxfId="92"/>
    <tableColumn id="4" name="Zone 3" dataDxfId="91"/>
  </tableColumns>
  <tableStyleInfo name="TableStyleMedium2" showFirstColumn="0" showLastColumn="0" showRowStripes="1" showColumnStripes="0"/>
</table>
</file>

<file path=xl/tables/table10.xml><?xml version="1.0" encoding="utf-8"?>
<table xmlns="http://schemas.openxmlformats.org/spreadsheetml/2006/main" id="10" name="TblReportingMetrics" displayName="TblReportingMetrics" ref="A17:D25" headerRowCount="1" totalsRowShown="0" headerRowDxfId="90" dataDxfId="89">
  <autoFilter ref="A17:D25"/>
  <tableColumns count="4">
    <tableColumn id="1" name="Metric" dataDxfId="88"/>
    <tableColumn id="2" name="Description" dataDxfId="87"/>
    <tableColumn id="3" name="Frequency" dataDxfId="86"/>
    <tableColumn id="4" name="Notes" dataDxfId="85"/>
  </tableColumns>
  <tableStyleInfo name="TableStyleMedium2" showFirstColumn="0" showLastColumn="0" showRowStripes="1" showColumnStripes="0"/>
</table>
</file>

<file path=xl/tables/table11.xml><?xml version="1.0" encoding="utf-8"?>
<table xmlns="http://schemas.openxmlformats.org/spreadsheetml/2006/main" id="11" name="TblComplianceAlignment" displayName="TblComplianceAlignment" ref="A2:E12" headerRowCount="1" totalsRowShown="0" headerRowDxfId="69" dataDxfId="68">
  <autoFilter ref="A2:E12"/>
  <tableColumns count="5">
    <tableColumn id="1" name="Control" dataDxfId="67"/>
    <tableColumn id="2" name="FINRA" dataDxfId="66"/>
    <tableColumn id="3" name="SEC" dataDxfId="65"/>
    <tableColumn id="4" name="SOX" dataDxfId="64"/>
    <tableColumn id="5" name="GLBA" dataDxfId="63"/>
  </tableColumns>
  <tableStyleInfo name="TableStyleMedium2" showFirstColumn="0" showLastColumn="0" showRowStripes="1" showColumnStripes="0"/>
</table>
</file>

<file path=xl/tables/table12.xml><?xml version="1.0" encoding="utf-8"?>
<table xmlns="http://schemas.openxmlformats.org/spreadsheetml/2006/main" id="12" name="TblRegulatorySummary" displayName="TblRegulatorySummary" ref="A15:G23" headerRowCount="1" totalsRowShown="0" headerRowDxfId="62" dataDxfId="61">
  <autoFilter ref="A15:G23"/>
  <tableColumns count="7">
    <tableColumn id="1" name="Regulation" dataDxfId="60"/>
    <tableColumn id="2" name="Key Requirements" dataDxfId="59"/>
    <tableColumn id="3" name="FSI Implementation" dataDxfId="58"/>
    <tableColumn id="4" name="Notes" dataDxfId="57"/>
    <tableColumn id="5" name="Priority" dataDxfId="56"/>
    <tableColumn id="6" name="Penalty Risk" dataDxfId="55"/>
    <tableColumn id="7" name="Exam Focus Level" dataDxfId="54"/>
  </tableColumns>
  <tableStyleInfo name="TableStyleMedium2" showFirstColumn="0" showLastColumn="0" showRowStripes="1" showColumnStripes="0"/>
</table>
</file>

<file path=xl/tables/table13.xml><?xml version="1.0" encoding="utf-8"?>
<table xmlns="http://schemas.openxmlformats.org/spreadsheetml/2006/main" id="13" name="TblChecklist" displayName="TblChecklist" ref="A2:H31" headerRowCount="1" totalsRowShown="0" headerRowDxfId="32" dataDxfId="31">
  <autoFilter ref="A2:H31"/>
  <tableColumns count="8">
    <tableColumn id="1" name="Phase" dataDxfId="30"/>
    <tableColumn id="2" name="Task" dataDxfId="29"/>
    <tableColumn id="3" name="Owner" dataDxfId="28"/>
    <tableColumn id="4" name="Status" dataDxfId="27"/>
    <tableColumn id="5" name="Dependencies" dataDxfId="26"/>
    <tableColumn id="6" name="Est. Hours" dataDxfId="25"/>
    <tableColumn id="7" name="% Complete" dataDxfId="24"/>
    <tableColumn id="8" name="Notes" dataDxfId="23"/>
  </tableColumns>
  <tableStyleInfo name="TableStyleMedium2" showFirstColumn="0" showLastColumn="0" showRowStripes="1" showColumnStripes="0"/>
</table>
</file>

<file path=xl/tables/table14.xml><?xml version="1.0" encoding="utf-8"?>
<table xmlns="http://schemas.openxmlformats.org/spreadsheetml/2006/main" id="14" name="TblContacts" displayName="TblContacts" ref="A2:E9" headerRowCount="1" totalsRowShown="0" headerRowDxfId="22" dataDxfId="21">
  <autoFilter ref="A2:E9"/>
  <tableColumns count="5">
    <tableColumn id="1" name="Role" dataDxfId="20"/>
    <tableColumn id="2" name="Name" dataDxfId="19"/>
    <tableColumn id="3" name="Contact Information" dataDxfId="18"/>
    <tableColumn id="4" name="Response SLA" dataDxfId="17"/>
    <tableColumn id="5" name="Backup Contact" dataDxfId="16"/>
  </tableColumns>
  <tableStyleInfo name="TableStyleMedium2" showFirstColumn="0" showLastColumn="0" showRowStripes="1" showColumnStripes="0"/>
</table>
</file>

<file path=xl/tables/table15.xml><?xml version="1.0" encoding="utf-8"?>
<table xmlns="http://schemas.openxmlformats.org/spreadsheetml/2006/main" id="15" name="TblEscalations" displayName="TblEscalations" ref="A12:D19" headerRowCount="1" totalsRowShown="0" headerRowDxfId="15" dataDxfId="14">
  <autoFilter ref="A12:D19"/>
  <tableColumns count="4">
    <tableColumn id="1" name="Scenario" dataDxfId="13"/>
    <tableColumn id="2" name="Immediate Action" dataDxfId="12"/>
    <tableColumn id="3" name="Escalate To" dataDxfId="11"/>
    <tableColumn id="4" name="Response Time" dataDxfId="10"/>
  </tableColumns>
  <tableStyleInfo name="TableStyleMedium2" showFirstColumn="0" showLastColumn="0" showRowStripes="1" showColumnStripes="0"/>
</table>
</file>

<file path=xl/tables/table16.xml><?xml version="1.0" encoding="utf-8"?>
<table xmlns="http://schemas.openxmlformats.org/spreadsheetml/2006/main" id="16" name="TblGlossary" displayName="TblGlossary" ref="A1:B18" headerRowCount="1" totalsRowShown="0" headerRowDxfId="9" dataDxfId="8">
  <autoFilter ref="A1:B18"/>
  <tableColumns count="2">
    <tableColumn id="1" name="Term" dataDxfId="7"/>
    <tableColumn id="2" name="Definition" dataDxfId="6"/>
  </tableColumns>
  <tableStyleInfo name="TableStyleMedium2" showFirstColumn="0" showLastColumn="0" showRowStripes="1" showColumnStripes="0"/>
</table>
</file>

<file path=xl/tables/table17.xml><?xml version="1.0" encoding="utf-8"?>
<table xmlns="http://schemas.openxmlformats.org/spreadsheetml/2006/main" id="17" name="TblDocReview" displayName="TblDocReview" ref="A4:H11" headerRowCount="1" totalsRowShown="0">
  <autoFilter ref="A4:H11"/>
  <tableColumns count="8">
    <tableColumn id="1" name="Area"/>
    <tableColumn id="2" name="Sheet"/>
    <tableColumn id="3" name="Cell/Range"/>
    <tableColumn id="4" name="Current text (summary)"/>
    <tableColumn id="5" name="Review result"/>
    <tableColumn id="6" name="Recommended update"/>
    <tableColumn id="7" name="Primary source"/>
    <tableColumn id="8" name="Link" dataDxfId="5"/>
  </tableColumns>
  <tableStyleInfo name="TableStyleMedium9" showFirstColumn="0" showLastColumn="0" showRowStripes="1" showColumnStripes="0"/>
</table>
</file>

<file path=xl/tables/table18.xml><?xml version="1.0" encoding="utf-8"?>
<table xmlns="http://schemas.openxmlformats.org/spreadsheetml/2006/main" id="18" name="Table1" displayName="Table1" ref="A1:G13" headerRowCount="1" totalsRowShown="0" headerRowDxfId="4" headerRowBorderDxfId="2" tableBorderDxfId="3">
  <autoFilter ref="A1:G13"/>
  <tableColumns count="7">
    <tableColumn id="1" name="Setting"/>
    <tableColumn id="2" name="Portal"/>
    <tableColumn id="3" name="Click-path" dataDxfId="1"/>
    <tableColumn id="4" name="Setup Time"/>
    <tableColumn id="5" name="Zone Applicability"/>
    <tableColumn id="6" name="Owner Role"/>
    <tableColumn id="7" name="Validation / Troubleshooting"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_rels/sheet9.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10.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s>
</file>

<file path=xl/worksheets/_rels/sheet11.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4.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5" customWidth="1" style="101" min="1" max="1"/>
    <col width="20" customWidth="1" style="101" min="2" max="2"/>
    <col width="20" customWidth="1" style="101" min="3" max="3"/>
    <col width="20" customWidth="1" style="101" min="4" max="4"/>
    <col width="25" customWidth="1" style="101" min="5" max="5"/>
  </cols>
  <sheetData>
    <row r="1">
      <c r="A1" s="155" t="inlineStr">
        <is>
          <t>FSI AGENT GOVERNANCE FRAMEWORK - EXECUTIVE SUMMARY</t>
        </is>
      </c>
    </row>
    <row r="2">
      <c r="A2" s="156" t="inlineStr">
        <is>
          <t>Microsoft Copilot Studio Governance for Financial Services</t>
        </is>
      </c>
    </row>
    <row r="3">
      <c r="A3" t="inlineStr">
        <is>
          <t>Document Version:</t>
        </is>
      </c>
      <c r="B3" t="inlineStr">
        <is>
          <t>Final - December 2025</t>
        </is>
      </c>
      <c r="C3" t="inlineStr">
        <is>
          <t>Last Updated:</t>
        </is>
      </c>
      <c r="D3" t="inlineStr">
        <is>
          <t>December 13, 2025</t>
        </is>
      </c>
    </row>
    <row r="4"/>
    <row r="5">
      <c r="A5" s="157" t="inlineStr">
        <is>
          <t>FRAMEWORK OVERVIEW</t>
        </is>
      </c>
    </row>
    <row r="6">
      <c r="A6" s="158" t="inlineStr">
        <is>
          <t>Metric</t>
        </is>
      </c>
      <c r="B6" s="158" t="inlineStr">
        <is>
          <t>Count</t>
        </is>
      </c>
      <c r="C6" s="158" t="inlineStr">
        <is>
          <t>Status</t>
        </is>
      </c>
      <c r="D6" s="158" t="inlineStr">
        <is>
          <t>Coverage</t>
        </is>
      </c>
      <c r="E6" s="158" t="inlineStr">
        <is>
          <t>Notes</t>
        </is>
      </c>
    </row>
    <row r="7">
      <c r="A7" s="128" t="inlineStr">
        <is>
          <t>Total Governance Controls</t>
        </is>
      </c>
      <c r="B7" s="128" t="inlineStr">
        <is>
          <t>43</t>
        </is>
      </c>
      <c r="C7" s="159" t="inlineStr">
        <is>
          <t>✓ Complete</t>
        </is>
      </c>
      <c r="D7" s="128" t="inlineStr">
        <is>
          <t>100%</t>
        </is>
      </c>
      <c r="E7" s="128" t="inlineStr">
        <is>
          <t>Across 4 pillars</t>
        </is>
      </c>
    </row>
    <row r="8">
      <c r="A8" s="128" t="inlineStr">
        <is>
          <t>Security Controls (Pillar 1)</t>
        </is>
      </c>
      <c r="B8" s="128" t="inlineStr">
        <is>
          <t>18</t>
        </is>
      </c>
      <c r="C8" s="159" t="inlineStr">
        <is>
          <t>✓ Complete</t>
        </is>
      </c>
      <c r="D8" s="128" t="inlineStr">
        <is>
          <t>100%</t>
        </is>
      </c>
      <c r="E8" s="128" t="inlineStr">
        <is>
          <t>DLP, Purview, Authentication</t>
        </is>
      </c>
    </row>
    <row r="9">
      <c r="A9" s="128" t="inlineStr">
        <is>
          <t>Management Controls (Pillar 2)</t>
        </is>
      </c>
      <c r="B9" s="128" t="inlineStr">
        <is>
          <t>14</t>
        </is>
      </c>
      <c r="C9" s="159" t="inlineStr">
        <is>
          <t>✓ Complete</t>
        </is>
      </c>
      <c r="D9" s="128" t="inlineStr">
        <is>
          <t>100%</t>
        </is>
      </c>
      <c r="E9" s="128" t="inlineStr">
        <is>
          <t>Environment Groups, ALM</t>
        </is>
      </c>
    </row>
    <row r="10">
      <c r="A10" s="128" t="inlineStr">
        <is>
          <t>Agent Reporting (Pillar 3)</t>
        </is>
      </c>
      <c r="B10" s="128" t="inlineStr">
        <is>
          <t>6</t>
        </is>
      </c>
      <c r="C10" s="159" t="inlineStr">
        <is>
          <t>✓ Complete</t>
        </is>
      </c>
      <c r="D10" s="128" t="inlineStr">
        <is>
          <t>100%</t>
        </is>
      </c>
      <c r="E10" s="128" t="inlineStr">
        <is>
          <t>Inventory, Monitoring, Cost</t>
        </is>
      </c>
    </row>
    <row r="11">
      <c r="A11" s="128" t="inlineStr">
        <is>
          <t>SharePoint Adv Mgmt (Pillar 4)</t>
        </is>
      </c>
      <c r="B11" s="128" t="inlineStr">
        <is>
          <t>5</t>
        </is>
      </c>
      <c r="C11" s="159" t="inlineStr">
        <is>
          <t>✓ Complete</t>
        </is>
      </c>
      <c r="D11" s="128" t="inlineStr">
        <is>
          <t>100%</t>
        </is>
      </c>
      <c r="E11" s="128" t="inlineStr">
        <is>
          <t>RCD, Access Reviews, Sharing</t>
        </is>
      </c>
    </row>
    <row r="12">
      <c r="A12" s="128" t="inlineStr">
        <is>
          <t>Admin Paths Documented</t>
        </is>
      </c>
      <c r="B12" s="128" t="inlineStr">
        <is>
          <t>37</t>
        </is>
      </c>
      <c r="C12" s="159" t="inlineStr">
        <is>
          <t>✓ Complete</t>
        </is>
      </c>
      <c r="D12" s="128" t="inlineStr">
        <is>
          <t>100%</t>
        </is>
      </c>
      <c r="E12" s="128" t="inlineStr">
        <is>
          <t>Click-by-click navigation</t>
        </is>
      </c>
    </row>
    <row r="13">
      <c r="A13" s="128" t="inlineStr">
        <is>
          <t>Operational Runbooks</t>
        </is>
      </c>
      <c r="B13" s="128" t="inlineStr">
        <is>
          <t>37</t>
        </is>
      </c>
      <c r="C13" s="159" t="inlineStr">
        <is>
          <t>✓ Complete</t>
        </is>
      </c>
      <c r="D13" s="128" t="inlineStr">
        <is>
          <t>100%</t>
        </is>
      </c>
      <c r="E13" s="128" t="inlineStr">
        <is>
          <t>Daily/Weekly/Monthly/Quarterly</t>
        </is>
      </c>
    </row>
    <row r="14">
      <c r="A14" s="128" t="inlineStr">
        <is>
          <t>Implementation Tasks</t>
        </is>
      </c>
      <c r="B14" s="128" t="inlineStr">
        <is>
          <t>38</t>
        </is>
      </c>
      <c r="C14" s="159" t="inlineStr">
        <is>
          <t>✓ Complete</t>
        </is>
      </c>
      <c r="D14" s="128" t="inlineStr">
        <is>
          <t>100%</t>
        </is>
      </c>
      <c r="E14" s="128" t="inlineStr">
        <is>
          <t>8-week phased rollout</t>
        </is>
      </c>
    </row>
    <row r="15"/>
    <row r="16">
      <c r="A16" s="157" t="inlineStr">
        <is>
          <t>REGULATORY READINESS SCORECARD</t>
        </is>
      </c>
    </row>
    <row r="17">
      <c r="A17" s="158" t="inlineStr">
        <is>
          <t>Regulation</t>
        </is>
      </c>
      <c r="B17" s="158" t="inlineStr">
        <is>
          <t>Controls Mapped</t>
        </is>
      </c>
      <c r="C17" s="158" t="inlineStr">
        <is>
          <t>Coverage</t>
        </is>
      </c>
      <c r="D17" s="158" t="inlineStr">
        <is>
          <t>Retention Req</t>
        </is>
      </c>
      <c r="E17" s="158" t="inlineStr">
        <is>
          <t>Readiness</t>
        </is>
      </c>
    </row>
    <row r="18">
      <c r="A18" s="128" t="inlineStr">
        <is>
          <t>FINRA 4511/3110</t>
        </is>
      </c>
      <c r="B18" s="128" t="inlineStr">
        <is>
          <t>43/43</t>
        </is>
      </c>
      <c r="C18" s="128" t="inlineStr">
        <is>
          <t>100%</t>
        </is>
      </c>
      <c r="D18" s="128" t="inlineStr">
        <is>
          <t>6 years</t>
        </is>
      </c>
      <c r="E18" s="159" t="inlineStr">
        <is>
          <t>✓ READY</t>
        </is>
      </c>
    </row>
    <row r="19">
      <c r="A19" s="128" t="inlineStr">
        <is>
          <t>SEC 17a-3/17a-4</t>
        </is>
      </c>
      <c r="B19" s="128" t="inlineStr">
        <is>
          <t>38/43</t>
        </is>
      </c>
      <c r="C19" s="128" t="inlineStr">
        <is>
          <t>88%</t>
        </is>
      </c>
      <c r="D19" s="128" t="inlineStr">
        <is>
          <t>6 years</t>
        </is>
      </c>
      <c r="E19" s="159" t="inlineStr">
        <is>
          <t>✓ READY</t>
        </is>
      </c>
    </row>
    <row r="20">
      <c r="A20" s="128" t="inlineStr">
        <is>
          <t>SOX 302/404</t>
        </is>
      </c>
      <c r="B20" s="128" t="inlineStr">
        <is>
          <t>35/43</t>
        </is>
      </c>
      <c r="C20" s="128" t="inlineStr">
        <is>
          <t>81%</t>
        </is>
      </c>
      <c r="D20" s="128" t="inlineStr">
        <is>
          <t>7 years</t>
        </is>
      </c>
      <c r="E20" s="159" t="inlineStr">
        <is>
          <t>✓ READY</t>
        </is>
      </c>
    </row>
    <row r="21">
      <c r="A21" s="128" t="inlineStr">
        <is>
          <t>GLBA 501(b)</t>
        </is>
      </c>
      <c r="B21" s="128" t="inlineStr">
        <is>
          <t>40/43</t>
        </is>
      </c>
      <c r="C21" s="128" t="inlineStr">
        <is>
          <t>93%</t>
        </is>
      </c>
      <c r="D21" s="128" t="inlineStr">
        <is>
          <t>5-7 years</t>
        </is>
      </c>
      <c r="E21" s="159" t="inlineStr">
        <is>
          <t>✓ READY</t>
        </is>
      </c>
    </row>
    <row r="22">
      <c r="A22" s="128" t="inlineStr">
        <is>
          <t>OCC 2011-12</t>
        </is>
      </c>
      <c r="B22" s="128" t="inlineStr">
        <is>
          <t>25/43</t>
        </is>
      </c>
      <c r="C22" s="128" t="inlineStr">
        <is>
          <t>58%</t>
        </is>
      </c>
      <c r="D22" s="128" t="inlineStr">
        <is>
          <t>Per model</t>
        </is>
      </c>
      <c r="E22" s="159" t="inlineStr">
        <is>
          <t>✓ READY</t>
        </is>
      </c>
    </row>
    <row r="23">
      <c r="A23" s="128" t="inlineStr">
        <is>
          <t>Fed SR 11-7</t>
        </is>
      </c>
      <c r="B23" s="128" t="inlineStr">
        <is>
          <t>25/43</t>
        </is>
      </c>
      <c r="C23" s="128" t="inlineStr">
        <is>
          <t>58%</t>
        </is>
      </c>
      <c r="D23" s="128" t="inlineStr">
        <is>
          <t>Per model</t>
        </is>
      </c>
      <c r="E23" s="159" t="inlineStr">
        <is>
          <t>✓ READY</t>
        </is>
      </c>
    </row>
    <row r="25">
      <c r="A25" s="157" t="inlineStr">
        <is>
          <t>GOVERNANCE ZONES SUMMARY</t>
        </is>
      </c>
    </row>
    <row r="26">
      <c r="A26" s="158" t="inlineStr">
        <is>
          <t>Zone</t>
        </is>
      </c>
      <c r="B26" s="158" t="inlineStr">
        <is>
          <t>Purpose</t>
        </is>
      </c>
      <c r="C26" s="158" t="inlineStr">
        <is>
          <t>Risk Level</t>
        </is>
      </c>
      <c r="D26" s="158" t="inlineStr">
        <is>
          <t>Key Controls</t>
        </is>
      </c>
      <c r="E26" s="158" t="inlineStr">
        <is>
          <t>Governance Level</t>
        </is>
      </c>
    </row>
    <row r="27">
      <c r="A27" s="128" t="inlineStr">
        <is>
          <t>Zone 1: Personal</t>
        </is>
      </c>
      <c r="B27" s="128" t="inlineStr">
        <is>
          <t>Individual productivity</t>
        </is>
      </c>
      <c r="C27" s="128" t="inlineStr">
        <is>
          <t>Low</t>
        </is>
      </c>
      <c r="D27" s="128" t="inlineStr">
        <is>
          <t>Basic auth, M365 only</t>
        </is>
      </c>
      <c r="E27" s="128" t="inlineStr">
        <is>
          <t>Self-service</t>
        </is>
      </c>
    </row>
    <row r="28">
      <c r="A28" s="128" t="inlineStr">
        <is>
          <t>Zone 2: Team</t>
        </is>
      </c>
      <c r="B28" s="128" t="inlineStr">
        <is>
          <t>Department collaboration</t>
        </is>
      </c>
      <c r="C28" s="128" t="inlineStr">
        <is>
          <t>Medium</t>
        </is>
      </c>
      <c r="D28" s="128" t="inlineStr">
        <is>
          <t>Sharing controls, DLP</t>
        </is>
      </c>
      <c r="E28" s="128" t="inlineStr">
        <is>
          <t>Team-managed</t>
        </is>
      </c>
    </row>
    <row r="29">
      <c r="A29" s="128" t="inlineStr">
        <is>
          <t>Zone 3: Enterprise</t>
        </is>
      </c>
      <c r="B29" s="128" t="inlineStr">
        <is>
          <t>Organization-wide</t>
        </is>
      </c>
      <c r="C29" s="128" t="inlineStr">
        <is>
          <t>High</t>
        </is>
      </c>
      <c r="D29" s="128" t="inlineStr">
        <is>
          <t>Full governance stack</t>
        </is>
      </c>
      <c r="E29" s="128" t="inlineStr">
        <is>
          <t>IT-managed</t>
        </is>
      </c>
    </row>
    <row r="32">
      <c r="A32" s="157" t="inlineStr">
        <is>
          <t>KEY GOVERNANCE ROLES</t>
        </is>
      </c>
    </row>
    <row r="33">
      <c r="A33" s="158" t="inlineStr">
        <is>
          <t>Role</t>
        </is>
      </c>
      <c r="B33" s="158" t="inlineStr">
        <is>
          <t>Responsibility</t>
        </is>
      </c>
      <c r="C33" s="158" t="inlineStr">
        <is>
          <t>Primary Portal</t>
        </is>
      </c>
      <c r="D33" s="158" t="inlineStr">
        <is>
          <t>Backup</t>
        </is>
      </c>
      <c r="E33" s="158" t="inlineStr">
        <is>
          <t>Escalation</t>
        </is>
      </c>
    </row>
    <row r="34">
      <c r="A34" s="128" t="inlineStr">
        <is>
          <t>AI Administrator</t>
        </is>
      </c>
      <c r="B34" s="128" t="inlineStr">
        <is>
          <t>Agent governance, DSPM</t>
        </is>
      </c>
      <c r="C34" s="128" t="inlineStr">
        <is>
          <t>Purview, PPAC</t>
        </is>
      </c>
      <c r="D34" s="128" t="inlineStr">
        <is>
          <t>[Name]</t>
        </is>
      </c>
      <c r="E34" s="128" t="inlineStr">
        <is>
          <t>COO</t>
        </is>
      </c>
    </row>
    <row r="35">
      <c r="A35" s="128" t="inlineStr">
        <is>
          <t>Power Platform Admin</t>
        </is>
      </c>
      <c r="B35" s="128" t="inlineStr">
        <is>
          <t>Environments, DLP</t>
        </is>
      </c>
      <c r="C35" s="128" t="inlineStr">
        <is>
          <t>PPAC</t>
        </is>
      </c>
      <c r="D35" s="128" t="inlineStr">
        <is>
          <t>[Name]</t>
        </is>
      </c>
      <c r="E35" s="128" t="inlineStr">
        <is>
          <t>CTO</t>
        </is>
      </c>
    </row>
    <row r="36">
      <c r="A36" s="128" t="inlineStr">
        <is>
          <t>Compliance Admin</t>
        </is>
      </c>
      <c r="B36" s="128" t="inlineStr">
        <is>
          <t>Audit, Retention, eDiscovery</t>
        </is>
      </c>
      <c r="C36" s="128" t="inlineStr">
        <is>
          <t>Purview</t>
        </is>
      </c>
      <c r="D36" s="128" t="inlineStr">
        <is>
          <t>[Name]</t>
        </is>
      </c>
      <c r="E36" s="128" t="inlineStr">
        <is>
          <t>CCO</t>
        </is>
      </c>
    </row>
    <row r="37">
      <c r="A37" s="128" t="inlineStr">
        <is>
          <t>Security Admin</t>
        </is>
      </c>
      <c r="B37" s="128" t="inlineStr">
        <is>
          <t>Conditional Access, IRM</t>
        </is>
      </c>
      <c r="C37" s="128" t="inlineStr">
        <is>
          <t>Entra, Purview</t>
        </is>
      </c>
      <c r="D37" s="128" t="inlineStr">
        <is>
          <t>[Name]</t>
        </is>
      </c>
      <c r="E37" s="128" t="inlineStr">
        <is>
          <t>CISO</t>
        </is>
      </c>
    </row>
    <row r="38">
      <c r="A38" s="128" t="inlineStr">
        <is>
          <t>SharePoint Admin</t>
        </is>
      </c>
      <c r="B38" s="128" t="inlineStr">
        <is>
          <t>Site governance, RCD</t>
        </is>
      </c>
      <c r="C38" s="128" t="inlineStr">
        <is>
          <t>SharePoint AC</t>
        </is>
      </c>
      <c r="D38" s="128" t="inlineStr">
        <is>
          <t>[Name]</t>
        </is>
      </c>
      <c r="E38" s="128" t="inlineStr">
        <is>
          <t>CTO</t>
        </is>
      </c>
    </row>
    <row r="40">
      <c r="A40" s="157" t="inlineStr">
        <is>
          <t>IMPLEMENTATION STATUS</t>
        </is>
      </c>
    </row>
    <row r="41">
      <c r="A41" s="158" t="inlineStr">
        <is>
          <t>Phase</t>
        </is>
      </c>
      <c r="B41" s="158" t="inlineStr">
        <is>
          <t>Focus Area</t>
        </is>
      </c>
      <c r="C41" s="158" t="inlineStr">
        <is>
          <t>Tasks</t>
        </is>
      </c>
      <c r="D41" s="158" t="inlineStr">
        <is>
          <t>Timeline</t>
        </is>
      </c>
      <c r="E41" s="158" t="inlineStr">
        <is>
          <t>Status</t>
        </is>
      </c>
    </row>
    <row r="42">
      <c r="A42" s="128" t="inlineStr">
        <is>
          <t>Phase 1</t>
        </is>
      </c>
      <c r="B42" s="128" t="inlineStr">
        <is>
          <t>Regulatory Compliance</t>
        </is>
      </c>
      <c r="C42" s="128" t="inlineStr">
        <is>
          <t>11 tasks</t>
        </is>
      </c>
      <c r="D42" s="128" t="inlineStr">
        <is>
          <t>Weeks 1-2</t>
        </is>
      </c>
      <c r="E42" s="159" t="inlineStr">
        <is>
          <t>READY</t>
        </is>
      </c>
    </row>
    <row r="43">
      <c r="A43" s="128" t="inlineStr">
        <is>
          <t>Phase 2</t>
        </is>
      </c>
      <c r="B43" s="128" t="inlineStr">
        <is>
          <t>Security Enhancements</t>
        </is>
      </c>
      <c r="C43" s="128" t="inlineStr">
        <is>
          <t>10 tasks</t>
        </is>
      </c>
      <c r="D43" s="128" t="inlineStr">
        <is>
          <t>Weeks 3-4</t>
        </is>
      </c>
      <c r="E43" s="159" t="inlineStr">
        <is>
          <t>READY</t>
        </is>
      </c>
    </row>
    <row r="44">
      <c r="A44" s="128" t="inlineStr">
        <is>
          <t>Phase 3</t>
        </is>
      </c>
      <c r="B44" s="128" t="inlineStr">
        <is>
          <t>Advanced Governance</t>
        </is>
      </c>
      <c r="C44" s="128" t="inlineStr">
        <is>
          <t>8 tasks</t>
        </is>
      </c>
      <c r="D44" s="128" t="inlineStr">
        <is>
          <t>Weeks 5-6</t>
        </is>
      </c>
      <c r="E44" s="159" t="inlineStr">
        <is>
          <t>READY</t>
        </is>
      </c>
    </row>
    <row r="45">
      <c r="A45" s="128" t="inlineStr">
        <is>
          <t>Phase 4</t>
        </is>
      </c>
      <c r="B45" s="128" t="inlineStr">
        <is>
          <t>Finalization</t>
        </is>
      </c>
      <c r="C45" s="128" t="inlineStr">
        <is>
          <t>9 tasks</t>
        </is>
      </c>
      <c r="D45" s="128" t="inlineStr">
        <is>
          <t>Weeks 7-8</t>
        </is>
      </c>
      <c r="E45" s="159" t="inlineStr">
        <is>
          <t>READY</t>
        </is>
      </c>
    </row>
    <row r="48">
      <c r="A48" s="157" t="inlineStr">
        <is>
          <t>APPROVAL AND SIGN-OFF</t>
        </is>
      </c>
    </row>
    <row r="49">
      <c r="A49" s="158" t="inlineStr">
        <is>
          <t>Approver</t>
        </is>
      </c>
      <c r="B49" s="158" t="inlineStr">
        <is>
          <t>Role</t>
        </is>
      </c>
      <c r="C49" s="158" t="inlineStr">
        <is>
          <t>Date</t>
        </is>
      </c>
      <c r="D49" s="158" t="inlineStr">
        <is>
          <t>Signature</t>
        </is>
      </c>
      <c r="E49" s="158" t="inlineStr">
        <is>
          <t>Comments</t>
        </is>
      </c>
    </row>
    <row r="50">
      <c r="A50" s="128" t="inlineStr"/>
      <c r="B50" s="128" t="inlineStr">
        <is>
          <t>AI Governance Lead</t>
        </is>
      </c>
      <c r="C50" s="128" t="inlineStr"/>
      <c r="D50" s="128" t="inlineStr"/>
      <c r="E50" s="128" t="inlineStr"/>
    </row>
    <row r="51">
      <c r="A51" s="128" t="inlineStr"/>
      <c r="B51" s="128" t="inlineStr">
        <is>
          <t>Compliance Officer</t>
        </is>
      </c>
      <c r="C51" s="128" t="inlineStr"/>
      <c r="D51" s="128" t="inlineStr"/>
      <c r="E51" s="128" t="inlineStr"/>
    </row>
    <row r="52">
      <c r="A52" s="128" t="inlineStr"/>
      <c r="B52" s="128" t="inlineStr">
        <is>
          <t>Chief Information Security Officer</t>
        </is>
      </c>
      <c r="C52" s="128" t="inlineStr"/>
      <c r="D52" s="128" t="inlineStr"/>
      <c r="E52" s="128" t="inlineStr"/>
    </row>
    <row r="53">
      <c r="A53" s="128" t="inlineStr"/>
      <c r="B53" s="128" t="inlineStr">
        <is>
          <t>Chief Operating Officer</t>
        </is>
      </c>
      <c r="C53" s="128" t="inlineStr"/>
      <c r="D53" s="128" t="inlineStr"/>
      <c r="E53" s="128" t="inlineStr"/>
    </row>
    <row r="55">
      <c r="A55" s="165" t="inlineStr">
        <is>
          <t>v1.1 ADDITIONS (December 2025)</t>
        </is>
      </c>
    </row>
    <row r="56">
      <c r="A56" t="inlineStr">
        <is>
          <t>• Agent 365 (Frontier Preview) readiness checklist - new sheet</t>
        </is>
      </c>
    </row>
    <row r="57">
      <c r="A57" t="inlineStr">
        <is>
          <t>• FINRA 2026 Regulatory Oversight guidance - Compliance Matrix updates</t>
        </is>
      </c>
    </row>
    <row r="58">
      <c r="A58" t="inlineStr">
        <is>
          <t>• Purview AI retention locations (Dec 2025) - Control 1.9 and 2.9 updates</t>
        </is>
      </c>
    </row>
    <row r="59">
      <c r="A59" t="inlineStr">
        <is>
          <t>• Model Risk (OCC 2011-12 / SR 11-7) applicability guidance</t>
        </is>
      </c>
    </row>
    <row r="60">
      <c r="A60" t="inlineStr">
        <is>
          <t>• Document governance tracking fields - Doc Review sheet</t>
        </is>
      </c>
    </row>
  </sheetData>
  <mergeCells count="9">
    <mergeCell ref="A55:E55"/>
    <mergeCell ref="A48:E48"/>
    <mergeCell ref="A2:E2"/>
    <mergeCell ref="A16:E16"/>
    <mergeCell ref="A25:E25"/>
    <mergeCell ref="A1:E1"/>
    <mergeCell ref="A5:E5"/>
    <mergeCell ref="A32:E32"/>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0" customWidth="1" style="101" min="1" max="1"/>
    <col width="25" customWidth="1" style="101" min="2" max="2"/>
    <col width="25" customWidth="1" style="101" min="3" max="3"/>
    <col width="25" customWidth="1" style="101" min="4" max="4"/>
    <col width="30" customWidth="1" style="101" min="5" max="5"/>
  </cols>
  <sheetData>
    <row r="1">
      <c r="A1" s="160" t="inlineStr">
        <is>
          <t>FSI AGENT GOVERNANCE - QUICK REFERENCE CARDS</t>
        </is>
      </c>
    </row>
    <row r="3">
      <c r="A3" s="161" t="inlineStr">
        <is>
          <t>ZONE GOVERNANCE QUICK REFERENCE</t>
        </is>
      </c>
    </row>
    <row r="4">
      <c r="A4" s="139" t="inlineStr">
        <is>
          <t>Capability</t>
        </is>
      </c>
      <c r="B4" s="139" t="inlineStr">
        <is>
          <t>Zone 1 (Personal)</t>
        </is>
      </c>
      <c r="C4" s="139" t="inlineStr">
        <is>
          <t>Zone 2 (Team)</t>
        </is>
      </c>
      <c r="D4" s="139" t="inlineStr">
        <is>
          <t>Zone 3 (Enterprise)</t>
        </is>
      </c>
    </row>
    <row r="5">
      <c r="A5" s="128" t="inlineStr">
        <is>
          <t>Agent Sharing</t>
        </is>
      </c>
      <c r="B5" s="162" t="inlineStr">
        <is>
          <t>Disabled/Creator only</t>
        </is>
      </c>
      <c r="C5" s="163" t="inlineStr">
        <is>
          <t>Security group limited</t>
        </is>
      </c>
      <c r="D5" s="164" t="inlineStr">
        <is>
          <t>Admin-controlled only</t>
        </is>
      </c>
    </row>
    <row r="6">
      <c r="A6" s="128" t="inlineStr">
        <is>
          <t>Channel Publishing</t>
        </is>
      </c>
      <c r="B6" s="162" t="inlineStr">
        <is>
          <t>M365 Copilot only</t>
        </is>
      </c>
      <c r="C6" s="163" t="inlineStr">
        <is>
          <t>Internal channels only</t>
        </is>
      </c>
      <c r="D6" s="164" t="inlineStr">
        <is>
          <t>Approved channels + change control</t>
        </is>
      </c>
    </row>
    <row r="7">
      <c r="A7" s="128" t="inlineStr">
        <is>
          <t>Authentication</t>
        </is>
      </c>
      <c r="B7" s="162" t="inlineStr">
        <is>
          <t>Entra ID required</t>
        </is>
      </c>
      <c r="C7" s="163" t="inlineStr">
        <is>
          <t>SSO enforced</t>
        </is>
      </c>
      <c r="D7" s="164" t="inlineStr">
        <is>
          <t>Phishing-resistant MFA + device</t>
        </is>
      </c>
    </row>
    <row r="8">
      <c r="A8" s="128" t="inlineStr">
        <is>
          <t>Skills/Plugins</t>
        </is>
      </c>
      <c r="B8" s="162" t="inlineStr">
        <is>
          <t>Blocked</t>
        </is>
      </c>
      <c r="C8" s="163" t="inlineStr">
        <is>
          <t>Allowlist only</t>
        </is>
      </c>
      <c r="D8" s="164" t="inlineStr">
        <is>
          <t>IT-managed only</t>
        </is>
      </c>
    </row>
    <row r="9">
      <c r="A9" s="128" t="inlineStr">
        <is>
          <t>Autonomous Actions</t>
        </is>
      </c>
      <c r="B9" s="162" t="inlineStr">
        <is>
          <t>Disabled</t>
        </is>
      </c>
      <c r="C9" s="163" t="inlineStr">
        <is>
          <t>Approval required</t>
        </is>
      </c>
      <c r="D9" s="164" t="inlineStr">
        <is>
          <t>Risk-based approval</t>
        </is>
      </c>
    </row>
    <row r="10">
      <c r="A10" s="128" t="inlineStr">
        <is>
          <t>Knowledge Sources</t>
        </is>
      </c>
      <c r="B10" s="162" t="inlineStr">
        <is>
          <t>Personal sites</t>
        </is>
      </c>
      <c r="C10" s="163" t="inlineStr">
        <is>
          <t>Approved department sites</t>
        </is>
      </c>
      <c r="D10" s="164" t="inlineStr">
        <is>
          <t>Approved org sites only</t>
        </is>
      </c>
    </row>
    <row r="11">
      <c r="A11" s="128" t="inlineStr">
        <is>
          <t>Transcript Retention</t>
        </is>
      </c>
      <c r="B11" s="162" t="inlineStr">
        <is>
          <t>30 days</t>
        </is>
      </c>
      <c r="C11" s="163" t="inlineStr">
        <is>
          <t>90 days</t>
        </is>
      </c>
      <c r="D11" s="164" t="inlineStr">
        <is>
          <t>180+ days (per regulation)</t>
        </is>
      </c>
    </row>
    <row r="12">
      <c r="A12" s="128" t="inlineStr">
        <is>
          <t>Solution Checker</t>
        </is>
      </c>
      <c r="B12" s="162" t="inlineStr">
        <is>
          <t>Warn</t>
        </is>
      </c>
      <c r="C12" s="163" t="inlineStr">
        <is>
          <t>Block on error</t>
        </is>
      </c>
      <c r="D12" s="164" t="inlineStr">
        <is>
          <t>Block on error + warning</t>
        </is>
      </c>
    </row>
    <row r="13">
      <c r="A13" s="128" t="inlineStr">
        <is>
          <t>DLP Policy</t>
        </is>
      </c>
      <c r="B13" s="162" t="inlineStr">
        <is>
          <t>Baseline</t>
        </is>
      </c>
      <c r="C13" s="163" t="inlineStr">
        <is>
          <t>Strict</t>
        </is>
      </c>
      <c r="D13" s="164" t="inlineStr">
        <is>
          <t>Strictest</t>
        </is>
      </c>
    </row>
    <row r="14">
      <c r="A14" s="128" t="inlineStr">
        <is>
          <t>Access Reviews</t>
        </is>
      </c>
      <c r="B14" s="162" t="inlineStr">
        <is>
          <t>Annual</t>
        </is>
      </c>
      <c r="C14" s="163" t="inlineStr">
        <is>
          <t>Quarterly</t>
        </is>
      </c>
      <c r="D14" s="164" t="inlineStr">
        <is>
          <t>Monthly with attestation</t>
        </is>
      </c>
    </row>
    <row r="15">
      <c r="A15" s="128" t="inlineStr">
        <is>
          <t>Cost Tracking</t>
        </is>
      </c>
      <c r="B15" s="162" t="inlineStr">
        <is>
          <t>Basic visibility</t>
        </is>
      </c>
      <c r="C15" s="163" t="inlineStr">
        <is>
          <t>Department budgets</t>
        </is>
      </c>
      <c r="D15" s="164" t="inlineStr">
        <is>
          <t>Real-time + throttling</t>
        </is>
      </c>
    </row>
    <row r="16">
      <c r="A16" s="128" t="inlineStr">
        <is>
          <t>Audit Retention</t>
        </is>
      </c>
      <c r="B16" s="162" t="inlineStr">
        <is>
          <t>180 days</t>
        </is>
      </c>
      <c r="C16" s="163" t="inlineStr">
        <is>
          <t>1 year</t>
        </is>
      </c>
      <c r="D16" s="164" t="inlineStr">
        <is>
          <t>7-10 years</t>
        </is>
      </c>
    </row>
    <row r="19">
      <c r="A19" s="161" t="inlineStr">
        <is>
          <t>ADMIN PORTAL QUICK REFERENCE</t>
        </is>
      </c>
    </row>
    <row r="20">
      <c r="A20" s="139" t="inlineStr">
        <is>
          <t>Portal</t>
        </is>
      </c>
      <c r="B20" s="139" t="inlineStr">
        <is>
          <t>URL</t>
        </is>
      </c>
      <c r="C20" s="139" t="inlineStr">
        <is>
          <t>Primary Use</t>
        </is>
      </c>
      <c r="D20" s="139" t="inlineStr">
        <is>
          <t>Key Controls</t>
        </is>
      </c>
    </row>
    <row r="21">
      <c r="A21" s="128" t="inlineStr">
        <is>
          <t>Power Platform Admin Center</t>
        </is>
      </c>
      <c r="B21" s="128" t="inlineStr">
        <is>
          <t>admin.powerplatform.microsoft.com</t>
        </is>
      </c>
      <c r="C21" s="128" t="inlineStr">
        <is>
          <t>Environment governance, DLP</t>
        </is>
      </c>
      <c r="D21" s="128" t="inlineStr">
        <is>
          <t>1.4, 1.11, 1.14, 1.15, 2.1-2.14</t>
        </is>
      </c>
    </row>
    <row r="22">
      <c r="A22" s="128" t="inlineStr">
        <is>
          <t>Microsoft Purview</t>
        </is>
      </c>
      <c r="B22" s="128" t="inlineStr">
        <is>
          <t>purview.microsoft.com</t>
        </is>
      </c>
      <c r="C22" s="128" t="inlineStr">
        <is>
          <t>Data security, compliance</t>
        </is>
      </c>
      <c r="D22" s="128" t="inlineStr">
        <is>
          <t>1.5-1.13, 1.16-1.17</t>
        </is>
      </c>
    </row>
    <row r="23">
      <c r="A23" s="128" t="inlineStr">
        <is>
          <t>Microsoft Entra</t>
        </is>
      </c>
      <c r="B23" s="128" t="inlineStr">
        <is>
          <t>entra.microsoft.com</t>
        </is>
      </c>
      <c r="C23" s="128" t="inlineStr">
        <is>
          <t>Identity, Conditional Access</t>
        </is>
      </c>
      <c r="D23" s="128" t="inlineStr">
        <is>
          <t>1.18, 4.2</t>
        </is>
      </c>
    </row>
    <row r="24">
      <c r="A24" s="128" t="inlineStr">
        <is>
          <t>SharePoint Admin</t>
        </is>
      </c>
      <c r="B24" s="128" t="inlineStr">
        <is>
          <t>admin.microsoft.com/sharepoint</t>
        </is>
      </c>
      <c r="C24" s="128" t="inlineStr">
        <is>
          <t>Site governance, RCD</t>
        </is>
      </c>
      <c r="D24" s="128" t="inlineStr">
        <is>
          <t>1.3, 4.1, 4.3-4.5</t>
        </is>
      </c>
    </row>
    <row r="25">
      <c r="A25" s="128" t="inlineStr">
        <is>
          <t>M365 Admin Center</t>
        </is>
      </c>
      <c r="B25" s="128" t="inlineStr">
        <is>
          <t>admin.microsoft.com</t>
        </is>
      </c>
      <c r="C25" s="128" t="inlineStr">
        <is>
          <t>Agent inventory, licensing</t>
        </is>
      </c>
      <c r="D25" s="128" t="inlineStr">
        <is>
          <t>1.2, 3.1</t>
        </is>
      </c>
    </row>
    <row r="28">
      <c r="A28" s="161" t="inlineStr">
        <is>
          <t>REGULATORY REQUIREMENTS QUICK REFERENCE</t>
        </is>
      </c>
    </row>
    <row r="29">
      <c r="A29" s="139" t="inlineStr">
        <is>
          <t>Regulation</t>
        </is>
      </c>
      <c r="B29" s="139" t="inlineStr">
        <is>
          <t>Primary Focus</t>
        </is>
      </c>
      <c r="C29" s="139" t="inlineStr">
        <is>
          <t>Retention</t>
        </is>
      </c>
      <c r="D29" s="139" t="inlineStr">
        <is>
          <t>Key Controls</t>
        </is>
      </c>
      <c r="E29" s="139" t="inlineStr">
        <is>
          <t>Exam Focus</t>
        </is>
      </c>
    </row>
    <row r="30">
      <c r="A30" s="128" t="inlineStr">
        <is>
          <t>FINRA 4511</t>
        </is>
      </c>
      <c r="B30" s="128" t="inlineStr">
        <is>
          <t>Books and records</t>
        </is>
      </c>
      <c r="C30" s="128" t="inlineStr">
        <is>
          <t>6 years</t>
        </is>
      </c>
      <c r="D30" s="128" t="inlineStr">
        <is>
          <t>1.7, 1.9, 2.9</t>
        </is>
      </c>
      <c r="E30" s="128" t="inlineStr">
        <is>
          <t>Communication retention</t>
        </is>
      </c>
    </row>
    <row r="31">
      <c r="A31" s="128" t="inlineStr">
        <is>
          <t>FINRA 3110</t>
        </is>
      </c>
      <c r="B31" s="128" t="inlineStr">
        <is>
          <t>Supervision</t>
        </is>
      </c>
      <c r="C31" s="128" t="inlineStr">
        <is>
          <t>N/A</t>
        </is>
      </c>
      <c r="D31" s="128" t="inlineStr">
        <is>
          <t>1.10, 2.12</t>
        </is>
      </c>
      <c r="E31" s="128" t="inlineStr">
        <is>
          <t>Agent oversight</t>
        </is>
      </c>
    </row>
    <row r="32">
      <c r="A32" s="128" t="inlineStr">
        <is>
          <t>FINRA Reg Notice 25-07</t>
        </is>
      </c>
      <c r="B32" s="128" t="inlineStr">
        <is>
          <t>AI governance</t>
        </is>
      </c>
      <c r="C32" s="128" t="inlineStr">
        <is>
          <t>N/A</t>
        </is>
      </c>
      <c r="D32" s="128" t="inlineStr">
        <is>
          <t>2.11, 2.12</t>
        </is>
      </c>
      <c r="E32" s="128" t="inlineStr">
        <is>
          <t>AI model controls</t>
        </is>
      </c>
    </row>
    <row r="33">
      <c r="A33" s="128" t="inlineStr">
        <is>
          <t>SEC 17a-3/17a-4</t>
        </is>
      </c>
      <c r="B33" s="128" t="inlineStr">
        <is>
          <t>Recordkeeping</t>
        </is>
      </c>
      <c r="C33" s="128" t="inlineStr">
        <is>
          <t>6 years</t>
        </is>
      </c>
      <c r="D33" s="128" t="inlineStr">
        <is>
          <t>1.7, 1.9, 1.13</t>
        </is>
      </c>
      <c r="E33" s="128" t="inlineStr">
        <is>
          <t>Audit trail</t>
        </is>
      </c>
    </row>
    <row r="34">
      <c r="A34" s="128" t="inlineStr">
        <is>
          <t>SOX 302/404</t>
        </is>
      </c>
      <c r="B34" s="128" t="inlineStr">
        <is>
          <t>Internal controls</t>
        </is>
      </c>
      <c r="C34" s="128" t="inlineStr">
        <is>
          <t>7 years</t>
        </is>
      </c>
      <c r="D34" s="128" t="inlineStr">
        <is>
          <t>2.5, 2.10, 2.12</t>
        </is>
      </c>
      <c r="E34" s="128" t="inlineStr">
        <is>
          <t>Control effectiveness</t>
        </is>
      </c>
    </row>
    <row r="35">
      <c r="A35" s="128" t="inlineStr">
        <is>
          <t>GLBA 501(b)</t>
        </is>
      </c>
      <c r="B35" s="128" t="inlineStr">
        <is>
          <t>Safeguards</t>
        </is>
      </c>
      <c r="C35" s="128" t="inlineStr">
        <is>
          <t>5-7 years</t>
        </is>
      </c>
      <c r="D35" s="128" t="inlineStr">
        <is>
          <t>1.11, 1.15, 1.18</t>
        </is>
      </c>
      <c r="E35" s="128" t="inlineStr">
        <is>
          <t>Data protection</t>
        </is>
      </c>
    </row>
    <row r="36">
      <c r="A36" s="128" t="inlineStr">
        <is>
          <t>OCC 2011-12</t>
        </is>
      </c>
      <c r="B36" s="128" t="inlineStr">
        <is>
          <t>Model risk mgmt</t>
        </is>
      </c>
      <c r="C36" s="128" t="inlineStr">
        <is>
          <t>Per model</t>
        </is>
      </c>
      <c r="D36" s="128" t="inlineStr">
        <is>
          <t>2.11, 2.12</t>
        </is>
      </c>
      <c r="E36" s="128" t="inlineStr">
        <is>
          <t>AI as model</t>
        </is>
      </c>
    </row>
    <row r="37">
      <c r="A37" s="128" t="inlineStr">
        <is>
          <t>Fed SR 11-7</t>
        </is>
      </c>
      <c r="B37" s="128" t="inlineStr">
        <is>
          <t>Model risk mgmt</t>
        </is>
      </c>
      <c r="C37" s="128" t="inlineStr">
        <is>
          <t>Per model</t>
        </is>
      </c>
      <c r="D37" s="128" t="inlineStr">
        <is>
          <t>2.11, 2.12</t>
        </is>
      </c>
      <c r="E37" s="128" t="inlineStr">
        <is>
          <t>Validation, monitoring</t>
        </is>
      </c>
    </row>
    <row r="40">
      <c r="A40" s="161" t="inlineStr">
        <is>
          <t>DAILY OPERATIONS QUICK REFERENCE</t>
        </is>
      </c>
    </row>
    <row r="41">
      <c r="A41" s="139" t="inlineStr">
        <is>
          <t>Task</t>
        </is>
      </c>
      <c r="B41" s="139" t="inlineStr">
        <is>
          <t>Control</t>
        </is>
      </c>
      <c r="C41" s="139" t="inlineStr">
        <is>
          <t>Owner</t>
        </is>
      </c>
      <c r="D41" s="139" t="inlineStr">
        <is>
          <t>Time</t>
        </is>
      </c>
      <c r="E41" s="139" t="inlineStr">
        <is>
          <t>Portal</t>
        </is>
      </c>
    </row>
    <row r="42">
      <c r="A42" s="128" t="inlineStr">
        <is>
          <t>Review Insider Risk alerts</t>
        </is>
      </c>
      <c r="B42" s="128" t="inlineStr">
        <is>
          <t>1.12</t>
        </is>
      </c>
      <c r="C42" s="128" t="inlineStr">
        <is>
          <t>Security Admin</t>
        </is>
      </c>
      <c r="D42" s="128" t="inlineStr">
        <is>
          <t>15 min</t>
        </is>
      </c>
      <c r="E42" s="128" t="inlineStr">
        <is>
          <t>Purview</t>
        </is>
      </c>
    </row>
    <row r="43">
      <c r="A43" s="128" t="inlineStr">
        <is>
          <t>Monitor auth failures</t>
        </is>
      </c>
      <c r="B43" s="128" t="inlineStr">
        <is>
          <t>1.11</t>
        </is>
      </c>
      <c r="C43" s="128" t="inlineStr">
        <is>
          <t>Security Admin</t>
        </is>
      </c>
      <c r="D43" s="128" t="inlineStr">
        <is>
          <t>10 min</t>
        </is>
      </c>
      <c r="E43" s="128" t="inlineStr">
        <is>
          <t>Entra</t>
        </is>
      </c>
    </row>
    <row r="44">
      <c r="A44" s="128" t="inlineStr">
        <is>
          <t>Check Comm Compliance queue</t>
        </is>
      </c>
      <c r="B44" s="128" t="inlineStr">
        <is>
          <t>1.10</t>
        </is>
      </c>
      <c r="C44" s="128" t="inlineStr">
        <is>
          <t>Compliance Admin</t>
        </is>
      </c>
      <c r="D44" s="128" t="inlineStr">
        <is>
          <t>20 min</t>
        </is>
      </c>
      <c r="E44" s="128" t="inlineStr">
        <is>
          <t>Purview</t>
        </is>
      </c>
    </row>
    <row r="45">
      <c r="A45" s="128" t="inlineStr">
        <is>
          <t>Review Zone 3 agent activity</t>
        </is>
      </c>
      <c r="B45" s="128" t="inlineStr">
        <is>
          <t>1.18</t>
        </is>
      </c>
      <c r="C45" s="128" t="inlineStr">
        <is>
          <t>AI Administrator</t>
        </is>
      </c>
      <c r="D45" s="128" t="inlineStr">
        <is>
          <t>15 min</t>
        </is>
      </c>
      <c r="E45" s="128" t="inlineStr">
        <is>
          <t>PPAC</t>
        </is>
      </c>
    </row>
    <row r="46">
      <c r="A46" s="128" t="inlineStr">
        <is>
          <t>Monitor cost consumption</t>
        </is>
      </c>
      <c r="B46" s="128" t="inlineStr">
        <is>
          <t>3.5</t>
        </is>
      </c>
      <c r="C46" s="128" t="inlineStr">
        <is>
          <t>Finance/IT Admin</t>
        </is>
      </c>
      <c r="D46" s="128" t="inlineStr">
        <is>
          <t>5 min</t>
        </is>
      </c>
      <c r="E46" s="128" t="inlineStr">
        <is>
          <t>PPAC</t>
        </is>
      </c>
    </row>
    <row r="47">
      <c r="A47" s="128" t="inlineStr">
        <is>
          <t>Check ownerless agent alerts</t>
        </is>
      </c>
      <c r="B47" s="128" t="inlineStr">
        <is>
          <t>3.6</t>
        </is>
      </c>
      <c r="C47" s="128" t="inlineStr">
        <is>
          <t>PP Admin</t>
        </is>
      </c>
      <c r="D47" s="128" t="inlineStr">
        <is>
          <t>10 min</t>
        </is>
      </c>
      <c r="E47" s="128" t="inlineStr">
        <is>
          <t>PPAC</t>
        </is>
      </c>
    </row>
  </sheetData>
  <mergeCells count="5">
    <mergeCell ref="A28:E28"/>
    <mergeCell ref="A19:E19"/>
    <mergeCell ref="A1:E1"/>
    <mergeCell ref="A40:E40"/>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H1"/>
    </sheetView>
  </sheetViews>
  <sheetFormatPr baseColWidth="8" defaultRowHeight="14.45"/>
  <cols>
    <col width="34.28515625" customWidth="1" style="101" min="1" max="1"/>
    <col width="15.28515625" customWidth="1" style="101" min="2" max="2"/>
    <col width="19" customWidth="1" style="101" min="3" max="4"/>
    <col width="5.7109375" customWidth="1" style="101" min="5" max="5"/>
    <col width="28.5703125" customWidth="1" style="101" min="6" max="6"/>
    <col width="15.28515625" customWidth="1" style="101" min="7" max="7"/>
  </cols>
  <sheetData>
    <row r="1" ht="35.25" customHeight="1" s="101">
      <c r="A1" s="100" t="inlineStr">
        <is>
          <t>MICROSOFT 365 AGENT GOVERNANCE - ASSESSMENT DASHBOARD</t>
        </is>
      </c>
    </row>
    <row r="2" ht="15.6" customHeight="1" s="101">
      <c r="A2" s="102" t="inlineStr">
        <is>
          <t>Financial Services Governance Assessment &amp; Gap Analysis</t>
        </is>
      </c>
    </row>
    <row r="4" ht="24.75" customHeight="1" s="101">
      <c r="A4" s="103" t="inlineStr">
        <is>
          <t>OVERALL GOVERNANCE MATURITY</t>
        </is>
      </c>
      <c r="F4" s="104" t="inlineStr">
        <is>
          <t>QUICK STATS</t>
        </is>
      </c>
    </row>
    <row r="5">
      <c r="A5" s="19" t="inlineStr">
        <is>
          <t>Metric</t>
        </is>
      </c>
      <c r="B5" s="19" t="inlineStr">
        <is>
          <t>Score</t>
        </is>
      </c>
      <c r="C5" s="19" t="inlineStr">
        <is>
          <t>Status</t>
        </is>
      </c>
      <c r="D5" s="19" t="inlineStr">
        <is>
          <t>Controls Assessed</t>
        </is>
      </c>
      <c r="F5" s="19" t="inlineStr">
        <is>
          <t>Metric</t>
        </is>
      </c>
      <c r="G5" s="19" t="inlineStr">
        <is>
          <t>Value</t>
        </is>
      </c>
      <c r="H5" s="19" t="n"/>
    </row>
    <row r="6">
      <c r="A6" t="inlineStr">
        <is>
          <t>Overall Maturity Score</t>
        </is>
      </c>
      <c r="B6" s="20">
        <f>IFERROR(AVERAGE(B7:B9),0)</f>
        <v/>
      </c>
      <c r="C6">
        <f>IF(B6&gt;=3,"STRONG",IF(B6&gt;=2,"DEVELOPING",IF(B6&gt;=1,"INITIAL","NOT STARTED")))</f>
        <v/>
      </c>
      <c r="D6">
        <f>D7+D8+D9+D10</f>
        <v/>
      </c>
      <c r="F6" t="inlineStr">
        <is>
          <t>Total Controls</t>
        </is>
      </c>
      <c r="G6">
        <f>COUNTA(TblSecurityControlsList[Control ID])+COUNTA(TblManagementControlsList[Control ID])+COUNTA(TblReportingControlsList[Control ID])</f>
        <v/>
      </c>
    </row>
    <row r="7">
      <c r="A7" t="inlineStr">
        <is>
          <t>Security Controls (Pillar 1)</t>
        </is>
      </c>
      <c r="B7" s="20">
        <f t="array" ref="B7">IFERROR(AVERAGE(IF(TblSecurityControlsList[Current State]="Level 4 - Managed",4,IF(TblSecurityControlsList[Current State]="Level 3 - Defined",3,IF(TblSecurityControlsList[Current State]="Level 2 - Developing",2,IF(TblSecurityControlsList[Current State]="Level 1 - Initial",1,0))))),0)</f>
        <v/>
      </c>
      <c r="C7">
        <f>IF(B7&gt;=3,"STRONG",IF(B7&gt;=2,"DEVELOPING",IF(B7&gt;=1,"INITIAL","NOT STARTED")))</f>
        <v/>
      </c>
      <c r="D7">
        <f>ROWS(TblSecurityControlsList[Current State])-COUNTBLANK(TblSecurityControlsList[Current State])</f>
        <v/>
      </c>
      <c r="F7" t="inlineStr">
        <is>
          <t>Controls Assessed</t>
        </is>
      </c>
      <c r="G7">
        <f>D7+D8+D9</f>
        <v/>
      </c>
    </row>
    <row r="8">
      <c r="A8" t="inlineStr">
        <is>
          <t>Management Controls (Pillar 2)</t>
        </is>
      </c>
      <c r="B8" s="20">
        <f t="array" ref="B8">IFERROR(AVERAGE(IF(TblManagementControlsList[Current State]="Level 4 - Managed",4,IF(TblManagementControlsList[Current State]="Level 3 - Defined",3,IF(TblManagementControlsList[Current State]="Level 2 - Developing",2,IF(TblManagementControlsList[Current State]="Level 1 - Initial",1,0))))),0)</f>
        <v/>
      </c>
      <c r="C8">
        <f>IF(B8&gt;=3,"STRONG",IF(B8&gt;=2,"DEVELOPING",IF(B8&gt;=1,"INITIAL","NOT STARTED")))</f>
        <v/>
      </c>
      <c r="D8">
        <f>ROWS(TblManagementControlsList[Current State])-COUNTBLANK(TblManagementControlsList[Current State])</f>
        <v/>
      </c>
      <c r="F8" t="inlineStr">
        <is>
          <t>Assessment Completion</t>
        </is>
      </c>
      <c r="G8" s="21">
        <f>IFERROR(G7/G6,0)</f>
        <v/>
      </c>
    </row>
    <row r="9">
      <c r="A9" t="inlineStr">
        <is>
          <t>Agent Reporting (Pillar 3)</t>
        </is>
      </c>
      <c r="B9" s="20">
        <f t="array" ref="B9">IFERROR(AVERAGE(IF(TblReportingControlsList[Current State]="Level 4 - Managed",4,IF(TblReportingControlsList[Current State]="Level 3 - Defined",3,IF(TblReportingControlsList[Current State]="Level 2 - Developing",2,IF(TblReportingControlsList[Current State]="Level 1 - Initial",1,0))))),0)</f>
        <v/>
      </c>
      <c r="C9">
        <f>IF(B9&gt;=3,"STRONG",IF(B9&gt;=2,"DEVELOPING",IF(B9&gt;=1,"INITIAL","NOT STARTED")))</f>
        <v/>
      </c>
      <c r="D9">
        <f>ROWS(TblReportingControlsList[Current State])-COUNTBLANK(TblReportingControlsList[Current State])</f>
        <v/>
      </c>
      <c r="F9" t="inlineStr">
        <is>
          <t>Total HIGH Gaps</t>
        </is>
      </c>
      <c r="G9">
        <f>B13+C13+D13</f>
        <v/>
      </c>
    </row>
    <row r="10">
      <c r="A10" s="128" t="inlineStr">
        <is>
          <t>SharePoint Adv Mgmt (Pillar 4)</t>
        </is>
      </c>
      <c r="B10" s="128" t="n">
        <v>0</v>
      </c>
      <c r="C10" s="128" t="inlineStr">
        <is>
          <t>NOT ASSESSED</t>
        </is>
      </c>
      <c r="D10" s="128" t="n">
        <v>5</v>
      </c>
    </row>
    <row r="11" ht="24.75" customHeight="1" s="101">
      <c r="F11" t="inlineStr">
        <is>
          <t>Tasks Blocked</t>
        </is>
      </c>
      <c r="G11">
        <f>COUNTIF(TblChecklist[Status],"Blocked")</f>
        <v/>
      </c>
    </row>
    <row r="12">
      <c r="A12" s="103" t="inlineStr">
        <is>
          <t>GAP ANALYSIS SUMMARY</t>
        </is>
      </c>
    </row>
    <row r="13">
      <c r="A13" s="19" t="inlineStr">
        <is>
          <t>Priority</t>
        </is>
      </c>
      <c r="B13" s="19" t="inlineStr">
        <is>
          <t>Security</t>
        </is>
      </c>
      <c r="C13" s="19" t="inlineStr">
        <is>
          <t>Management</t>
        </is>
      </c>
      <c r="D13" s="19" t="inlineStr">
        <is>
          <t>Reporting</t>
        </is>
      </c>
    </row>
    <row r="14">
      <c r="A14" s="25" t="inlineStr">
        <is>
          <t>HIGH Priority Gaps</t>
        </is>
      </c>
      <c r="B14" s="25">
        <f>COUNTIF(TblSecurityControlsList[Gap Priority],"HIGH")</f>
        <v/>
      </c>
      <c r="C14" s="25">
        <f>COUNTIF(TblManagementControlsList[Gap Priority],"HIGH")</f>
        <v/>
      </c>
      <c r="D14" s="25">
        <f>COUNTIF(TblReportingControlsList[Gap Priority],"HIGH")</f>
        <v/>
      </c>
    </row>
    <row r="15">
      <c r="A15" t="inlineStr">
        <is>
          <t>MEDIUM Priority Gaps</t>
        </is>
      </c>
      <c r="B15">
        <f>COUNTIF(TblSecurityControlsList[Gap Priority],"MEDIUM")</f>
        <v/>
      </c>
      <c r="C15">
        <f>COUNTIF(TblManagementControlsList[Gap Priority],"MEDIUM")</f>
        <v/>
      </c>
      <c r="D15">
        <f>COUNTIF(TblReportingControlsList[Gap Priority],"MEDIUM")</f>
        <v/>
      </c>
    </row>
    <row r="16">
      <c r="A16" t="inlineStr">
        <is>
          <t>LOW Priority (Compliant)</t>
        </is>
      </c>
      <c r="B16">
        <f>COUNTIF(TblSecurityControlsList[Gap Priority],"LOW")</f>
        <v/>
      </c>
      <c r="C16">
        <f>COUNTIF(TblManagementControlsList[Gap Priority],"LOW")</f>
        <v/>
      </c>
      <c r="D16">
        <f>COUNTIF(TblReportingControlsList[Gap Priority],"LOW")</f>
        <v/>
      </c>
    </row>
    <row r="17">
      <c r="A17" t="inlineStr">
        <is>
          <t>Not Yet Assessed</t>
        </is>
      </c>
      <c r="B17">
        <f>COUNTIF(TblSecurityControlsList[Gap Priority],"NOT ASSESSED")</f>
        <v/>
      </c>
      <c r="C17">
        <f>COUNTIF(TblManagementControlsList[Gap Priority],"NOT ASSESSED")</f>
        <v/>
      </c>
      <c r="D17">
        <f>COUNTIF(TblReportingControlsList[Gap Priority],"NOT ASSESSED")</f>
        <v/>
      </c>
    </row>
    <row r="18" ht="24.75" customHeight="1" s="101"/>
    <row r="19">
      <c r="A19" s="103" t="inlineStr">
        <is>
          <t>IMPLEMENTATION PROGRESS</t>
        </is>
      </c>
    </row>
    <row r="20">
      <c r="A20" s="150" t="inlineStr">
        <is>
          <t>Phase 1: Regulatory Compliance</t>
        </is>
      </c>
      <c r="B20" s="150" t="n">
        <v>11</v>
      </c>
      <c r="C20" s="150" t="n">
        <v>0</v>
      </c>
      <c r="D20" s="150" t="inlineStr">
        <is>
          <t>0%</t>
        </is>
      </c>
    </row>
    <row r="21">
      <c r="A21" s="128" t="inlineStr">
        <is>
          <t>Phase 2: Security Enhancements</t>
        </is>
      </c>
      <c r="B21" s="128" t="n">
        <v>10</v>
      </c>
      <c r="C21" s="128" t="n">
        <v>0</v>
      </c>
      <c r="D21" s="151" t="inlineStr">
        <is>
          <t>0%</t>
        </is>
      </c>
    </row>
    <row r="22">
      <c r="A22" s="128" t="inlineStr">
        <is>
          <t>Phase 3: Advanced Governance</t>
        </is>
      </c>
      <c r="B22" s="128" t="n">
        <v>8</v>
      </c>
      <c r="C22" s="128" t="n">
        <v>0</v>
      </c>
      <c r="D22" s="151" t="inlineStr">
        <is>
          <t>0%</t>
        </is>
      </c>
    </row>
    <row r="23">
      <c r="A23" s="128" t="inlineStr">
        <is>
          <t>Phase 4: Finalization</t>
        </is>
      </c>
      <c r="B23" s="128" t="n">
        <v>9</v>
      </c>
      <c r="C23" s="128" t="n">
        <v>0</v>
      </c>
      <c r="D23" s="151" t="inlineStr">
        <is>
          <t>0%</t>
        </is>
      </c>
    </row>
    <row r="24">
      <c r="A24" t="inlineStr">
        <is>
          <t>Monitoring</t>
        </is>
      </c>
      <c r="B24">
        <f>COUNTIF(TblChecklist[Phase],"Monitoring")</f>
        <v/>
      </c>
      <c r="C24">
        <f>COUNTIFS(TblChecklist[Phase],"Monitoring",TblChecklist[Status],"Completed")</f>
        <v/>
      </c>
      <c r="D24" s="21">
        <f>IFERROR(C23/B23,0)</f>
        <v/>
      </c>
    </row>
    <row r="25">
      <c r="A25" t="inlineStr">
        <is>
          <t>Training</t>
        </is>
      </c>
      <c r="B25">
        <f>COUNTIF(TblChecklist[Phase],"Training")</f>
        <v/>
      </c>
      <c r="C25">
        <f>COUNTIFS(TblChecklist[Phase],"Training",TblChecklist[Status],"Completed")</f>
        <v/>
      </c>
      <c r="D25" s="21">
        <f>IFERROR(C24/B24,0)</f>
        <v/>
      </c>
    </row>
    <row r="26">
      <c r="A26" s="152" t="inlineStr">
        <is>
          <t>CONTROL SUMMARY</t>
        </is>
      </c>
    </row>
    <row r="27">
      <c r="A27" s="139" t="inlineStr">
        <is>
          <t>Category</t>
        </is>
      </c>
      <c r="B27" s="139" t="inlineStr">
        <is>
          <t>Controls</t>
        </is>
      </c>
      <c r="C27" s="139" t="inlineStr">
        <is>
          <t>New in Phase 1/2/3</t>
        </is>
      </c>
      <c r="D27" s="21">
        <f>IFERROR(C26/B26,0)</f>
        <v/>
      </c>
    </row>
    <row r="28">
      <c r="A28" s="128" t="inlineStr">
        <is>
          <t>Security Controls (Pillar 1)</t>
        </is>
      </c>
      <c r="B28" s="128" t="n">
        <v>18</v>
      </c>
      <c r="C28" s="128" t="inlineStr">
        <is>
          <t>+10</t>
        </is>
      </c>
      <c r="D28" s="21">
        <f>IFERROR(C27/B27,0)</f>
        <v/>
      </c>
    </row>
    <row r="29">
      <c r="A29" s="153" t="inlineStr">
        <is>
          <t>Management Controls (Pillar 2)</t>
        </is>
      </c>
      <c r="B29" s="154" t="n">
        <v>14</v>
      </c>
      <c r="C29" s="154" t="inlineStr">
        <is>
          <t>+8</t>
        </is>
      </c>
      <c r="D29" s="24">
        <f>IFERROR(C28/B28,0)</f>
        <v/>
      </c>
    </row>
    <row r="30">
      <c r="A30" s="128" t="inlineStr">
        <is>
          <t>Agent Reporting (Pillar 3)</t>
        </is>
      </c>
      <c r="B30" s="128" t="n">
        <v>6</v>
      </c>
      <c r="C30" s="128" t="inlineStr">
        <is>
          <t>+2</t>
        </is>
      </c>
    </row>
    <row r="31">
      <c r="A31" s="128" t="inlineStr">
        <is>
          <t>SharePoint Adv Mgmt (Pillar 4)</t>
        </is>
      </c>
      <c r="B31" s="128" t="n">
        <v>5</v>
      </c>
      <c r="C31" s="128" t="inlineStr">
        <is>
          <t>+5 (NEW)</t>
        </is>
      </c>
    </row>
    <row r="32">
      <c r="A32" s="139" t="inlineStr">
        <is>
          <t>TOTAL</t>
        </is>
      </c>
      <c r="B32" s="139" t="n">
        <v>43</v>
      </c>
      <c r="C32" s="139" t="inlineStr">
        <is>
          <t>+25</t>
        </is>
      </c>
    </row>
  </sheetData>
  <mergeCells count="7">
    <mergeCell ref="A18:D18"/>
    <mergeCell ref="A11:D11"/>
    <mergeCell ref="A4:D4"/>
    <mergeCell ref="A2:H2"/>
    <mergeCell ref="A26:D26"/>
    <mergeCell ref="F4:H4"/>
    <mergeCell ref="A1:H1"/>
  </mergeCells>
  <conditionalFormatting sqref="C6:C9">
    <cfRule type="containsText" priority="1" operator="containsText" dxfId="40" text="STRONG">
      <formula>NOT(ISERROR(SEARCH("STRONG",C6)))</formula>
    </cfRule>
    <cfRule type="containsText" priority="2" operator="containsText" dxfId="43" text="DEVELOPING">
      <formula>NOT(ISERROR(SEARCH("DEVELOPING",C6)))</formula>
    </cfRule>
    <cfRule type="containsText" priority="3" operator="containsText" dxfId="126" text="INITIAL">
      <formula>NOT(ISERROR(SEARCH("INITIAL",C6)))</formula>
    </cfRule>
    <cfRule type="containsText" priority="4" operator="containsText" dxfId="39" text="NOT STARTED">
      <formula>NOT(ISERROR(SEARCH("NOT STARTED",C6)))</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3"/>
  <sheetViews>
    <sheetView topLeftCell="A11" workbookViewId="0">
      <selection activeCell="C15" sqref="C15"/>
    </sheetView>
  </sheetViews>
  <sheetFormatPr baseColWidth="8" defaultRowHeight="14.45"/>
  <cols>
    <col width="13.28515625" customWidth="1" style="101" min="1" max="1"/>
    <col width="34.28515625" customWidth="1" style="101" min="2" max="2"/>
    <col width="76.140625" customWidth="1" style="101" min="3" max="3"/>
    <col width="5.7109375" customWidth="1" style="101" min="4" max="4"/>
    <col width="24.7109375" customWidth="1" style="101" min="5" max="6"/>
    <col width="34.28515625" customWidth="1" style="101" min="7" max="7"/>
  </cols>
  <sheetData>
    <row r="1" ht="39.75" customHeight="1" s="101">
      <c r="A1" s="105" t="inlineStr">
        <is>
          <t>QUICK START GUIDE</t>
        </is>
      </c>
    </row>
    <row r="2" ht="24.75" customHeight="1" s="101">
      <c r="A2" s="102" t="inlineStr">
        <is>
          <t>Microsoft 365 Agent Governance Framework for Financial Services</t>
        </is>
      </c>
    </row>
    <row r="4" ht="27.75" customHeight="1" s="101">
      <c r="A4" s="104" t="inlineStr">
        <is>
          <t>HOW TO USE THIS WORKBOOK</t>
        </is>
      </c>
    </row>
    <row r="5" ht="21.75" customHeight="1" s="101">
      <c r="A5" s="19" t="inlineStr">
        <is>
          <t>Step</t>
        </is>
      </c>
      <c r="B5" s="19" t="inlineStr">
        <is>
          <t>Action</t>
        </is>
      </c>
      <c r="C5" s="19" t="inlineStr">
        <is>
          <t>Description</t>
        </is>
      </c>
      <c r="E5" s="19" t="inlineStr">
        <is>
          <t>Sheet</t>
        </is>
      </c>
      <c r="F5" s="19" t="inlineStr">
        <is>
          <t>Purpose</t>
        </is>
      </c>
      <c r="G5" s="19" t="inlineStr">
        <is>
          <t>When to Use</t>
        </is>
      </c>
    </row>
    <row r="6" ht="45.75" customHeight="1" s="101">
      <c r="A6" s="26" t="inlineStr">
        <is>
          <t>Step 1</t>
        </is>
      </c>
      <c r="B6" t="inlineStr">
        <is>
          <t>Review the Overview Sheet</t>
        </is>
      </c>
      <c r="C6" s="64" t="inlineStr">
        <is>
          <t>Start by reading the Overview sheet to understand the framework's three pillars (Security, Management, Reporting) and three governance zones (Personal, Team, Enterprise).</t>
        </is>
      </c>
      <c r="E6" t="inlineStr">
        <is>
          <t>Dashboard</t>
        </is>
      </c>
      <c r="F6" t="inlineStr">
        <is>
          <t>Progress tracking</t>
        </is>
      </c>
      <c r="G6" t="inlineStr">
        <is>
          <t>Daily - monitor overall status</t>
        </is>
      </c>
    </row>
    <row r="7" ht="35.25" customHeight="1" s="101">
      <c r="A7" s="26" t="inlineStr">
        <is>
          <t>Step 2</t>
        </is>
      </c>
      <c r="B7" t="inlineStr">
        <is>
          <t>Classify Your Agents</t>
        </is>
      </c>
      <c r="C7" s="64" t="inlineStr">
        <is>
          <t>Use the Zones Definition sheet and FSI Use Cases sheet to determine which zone(s) your agents should operate in based on their purpose and data access.</t>
        </is>
      </c>
      <c r="E7" t="inlineStr">
        <is>
          <t>Overview</t>
        </is>
      </c>
      <c r="F7" t="inlineStr">
        <is>
          <t>Framework introduction</t>
        </is>
      </c>
      <c r="G7" t="inlineStr">
        <is>
          <t>First - understand the framework</t>
        </is>
      </c>
    </row>
    <row r="8" ht="35.25" customHeight="1" s="101">
      <c r="A8" s="26" t="inlineStr">
        <is>
          <t>Step 3</t>
        </is>
      </c>
      <c r="B8" t="inlineStr">
        <is>
          <t>Assess Current State</t>
        </is>
      </c>
      <c r="C8" s="64" t="inlineStr">
        <is>
          <t>Go to Security Controls, Management Controls, and Agent Reporting sheets. For each control, select your Current State maturity level from the dropdown (Level 0-4).</t>
        </is>
      </c>
      <c r="E8" t="inlineStr">
        <is>
          <t>FSI Use Cases</t>
        </is>
      </c>
      <c r="F8" t="inlineStr">
        <is>
          <t>Agent scenarios</t>
        </is>
      </c>
      <c r="G8" t="inlineStr">
        <is>
          <t>Classification - map your agents</t>
        </is>
      </c>
    </row>
    <row r="9" ht="35.25" customHeight="1" s="101">
      <c r="A9" s="26" t="inlineStr">
        <is>
          <t>Step 4</t>
        </is>
      </c>
      <c r="B9" t="inlineStr">
        <is>
          <t>Review Dashboard</t>
        </is>
      </c>
      <c r="C9" s="64" t="inlineStr">
        <is>
          <t>Check the Dashboard sheet to see your overall governance maturity score, gap analysis, and implementation progress automatically calculated.</t>
        </is>
      </c>
      <c r="E9" t="inlineStr">
        <is>
          <t>Zones Definition</t>
        </is>
      </c>
      <c r="F9" t="inlineStr">
        <is>
          <t>Zone criteria</t>
        </is>
      </c>
      <c r="G9" t="inlineStr">
        <is>
          <t>Classification - determine zones</t>
        </is>
      </c>
    </row>
    <row r="10" ht="35.25" customHeight="1" s="101">
      <c r="A10" s="26" t="inlineStr">
        <is>
          <t>Step 5</t>
        </is>
      </c>
      <c r="B10" t="inlineStr">
        <is>
          <t>Address High Priority Gaps</t>
        </is>
      </c>
      <c r="C10" s="64" t="inlineStr">
        <is>
          <t>Focus on controls showing 'HIGH' in the Gap Priority column first. These represent Level 0 or Level 1 maturity requiring immediate attention.</t>
        </is>
      </c>
      <c r="E10" t="inlineStr">
        <is>
          <t>Security Controls</t>
        </is>
      </c>
      <c r="F10" t="inlineStr">
        <is>
          <t>Pillar 1 assessment</t>
        </is>
      </c>
      <c r="G10" t="inlineStr">
        <is>
          <t>Assessment - evaluate security</t>
        </is>
      </c>
    </row>
    <row r="11" ht="35.25" customHeight="1" s="101">
      <c r="A11" s="26" t="inlineStr">
        <is>
          <t>Step 6</t>
        </is>
      </c>
      <c r="B11" t="inlineStr">
        <is>
          <t>Plan Implementation</t>
        </is>
      </c>
      <c r="C11" s="64" t="inlineStr">
        <is>
          <t>Use the Implementation Checklist to track your progress. Update Status and % Complete as you implement each control.</t>
        </is>
      </c>
      <c r="E11" t="inlineStr">
        <is>
          <t>Management Controls</t>
        </is>
      </c>
      <c r="F11" t="inlineStr">
        <is>
          <t>Pillar 2 assessment</t>
        </is>
      </c>
      <c r="G11" t="inlineStr">
        <is>
          <t>Assessment - evaluate management</t>
        </is>
      </c>
    </row>
    <row r="12" ht="35.25" customHeight="1" s="101">
      <c r="A12" s="26" t="inlineStr">
        <is>
          <t>Step 7</t>
        </is>
      </c>
      <c r="B12" t="inlineStr">
        <is>
          <t>Document Evidence</t>
        </is>
      </c>
      <c r="C12" s="64" t="inlineStr">
        <is>
          <t>For each assessed control, record the Evidence Location (SharePoint link, document reference, etc.) for audit purposes.</t>
        </is>
      </c>
      <c r="E12" t="inlineStr">
        <is>
          <t>Agent Reporting</t>
        </is>
      </c>
      <c r="F12" t="inlineStr">
        <is>
          <t>Pillar 3 assessment</t>
        </is>
      </c>
      <c r="G12" t="inlineStr">
        <is>
          <t>Assessment - evaluate reporting</t>
        </is>
      </c>
    </row>
    <row r="13" ht="35.25" customHeight="1" s="101">
      <c r="A13" s="26" t="inlineStr">
        <is>
          <t>Step 8</t>
        </is>
      </c>
      <c r="B13" t="inlineStr">
        <is>
          <t>Establish Operations</t>
        </is>
      </c>
      <c r="C13" s="64" t="inlineStr">
        <is>
          <t>Reference the Runbooks sheet for ongoing operational procedures and the RACI Matrix for role assignments.</t>
        </is>
      </c>
      <c r="E13" t="inlineStr">
        <is>
          <t>RACI Matrix</t>
        </is>
      </c>
      <c r="F13" t="inlineStr">
        <is>
          <t>Role responsibilities</t>
        </is>
      </c>
      <c r="G13" t="inlineStr">
        <is>
          <t>Planning - assign ownership</t>
        </is>
      </c>
    </row>
    <row r="14" ht="35.25" customHeight="1" s="101">
      <c r="A14" s="26" t="inlineStr">
        <is>
          <t>Step 9</t>
        </is>
      </c>
      <c r="B14" t="inlineStr">
        <is>
          <t>Prepare for Audits</t>
        </is>
      </c>
      <c r="C14" s="64" t="inlineStr">
        <is>
          <t>Use the Exam Prep sheet to understand what auditors will ask and the Compliance Matrix for regulatory mapping.</t>
        </is>
      </c>
      <c r="E14" t="inlineStr">
        <is>
          <t>Runbooks</t>
        </is>
      </c>
      <c r="F14" t="inlineStr">
        <is>
          <t>Operational procedures</t>
        </is>
      </c>
      <c r="G14" t="inlineStr">
        <is>
          <t>Operations - daily/weekly tasks</t>
        </is>
      </c>
    </row>
    <row r="15" ht="35.25" customHeight="1" s="101">
      <c r="A15" s="26" t="inlineStr">
        <is>
          <t>Step 10</t>
        </is>
      </c>
      <c r="B15" t="inlineStr">
        <is>
          <t>Update Monthly</t>
        </is>
      </c>
      <c r="C15" s="64" t="inlineStr">
        <is>
          <t>Reassess your controls monthly and update the framework as your governance posture improves.</t>
        </is>
      </c>
      <c r="E15" t="inlineStr">
        <is>
          <t>Compliance Matrix</t>
        </is>
      </c>
      <c r="F15" t="inlineStr">
        <is>
          <t>Regulatory mapping</t>
        </is>
      </c>
      <c r="G15" t="inlineStr">
        <is>
          <t>Audit - regulatory alignment</t>
        </is>
      </c>
    </row>
    <row r="16">
      <c r="E16" t="inlineStr">
        <is>
          <t>Exam Prep</t>
        </is>
      </c>
      <c r="F16" t="inlineStr">
        <is>
          <t>Auditor Q&amp;A</t>
        </is>
      </c>
      <c r="G16" t="inlineStr">
        <is>
          <t>Audit - examination preparation</t>
        </is>
      </c>
    </row>
    <row r="17" ht="27.75" customHeight="1" s="101">
      <c r="A17" s="104" t="inlineStr">
        <is>
          <t>MATURITY LEVEL DEFINITIONS</t>
        </is>
      </c>
    </row>
    <row r="18">
      <c r="A18" s="19" t="inlineStr">
        <is>
          <t>Level</t>
        </is>
      </c>
      <c r="B18" s="19" t="inlineStr">
        <is>
          <t>Name</t>
        </is>
      </c>
      <c r="C18" s="19" t="inlineStr">
        <is>
          <t>Description</t>
        </is>
      </c>
      <c r="E18" t="inlineStr">
        <is>
          <t>Key Contacts</t>
        </is>
      </c>
      <c r="F18" t="inlineStr">
        <is>
          <t>Contact directory</t>
        </is>
      </c>
      <c r="G18" t="inlineStr">
        <is>
          <t>Reference - key people</t>
        </is>
      </c>
    </row>
    <row r="19">
      <c r="A19" s="27" t="inlineStr">
        <is>
          <t>Level 0</t>
        </is>
      </c>
      <c r="B19" t="inlineStr">
        <is>
          <t>None</t>
        </is>
      </c>
      <c r="C19" t="inlineStr">
        <is>
          <t>Control is not implemented. No processes, tools, or documentation exist.</t>
        </is>
      </c>
      <c r="E19" t="inlineStr">
        <is>
          <t>Glossary</t>
        </is>
      </c>
      <c r="F19" t="inlineStr">
        <is>
          <t>Term definitions</t>
        </is>
      </c>
      <c r="G19" t="inlineStr">
        <is>
          <t>Reference - terminology</t>
        </is>
      </c>
    </row>
    <row r="20">
      <c r="A20" s="28" t="inlineStr">
        <is>
          <t>Level 1</t>
        </is>
      </c>
      <c r="B20" t="inlineStr">
        <is>
          <t>Initial</t>
        </is>
      </c>
      <c r="C20" t="inlineStr">
        <is>
          <t>Ad-hoc or inconsistent implementation. Some awareness exists but no formal processes.</t>
        </is>
      </c>
    </row>
    <row r="21">
      <c r="A21" s="29" t="inlineStr">
        <is>
          <t>Level 2</t>
        </is>
      </c>
      <c r="B21" t="inlineStr">
        <is>
          <t>Developing</t>
        </is>
      </c>
      <c r="C21" t="inlineStr">
        <is>
          <t>Partial implementation. Processes are documented but not consistently followed.</t>
        </is>
      </c>
    </row>
    <row r="22">
      <c r="A22" s="30" t="inlineStr">
        <is>
          <t>Level 3</t>
        </is>
      </c>
      <c r="B22" t="inlineStr">
        <is>
          <t>Defined</t>
        </is>
      </c>
      <c r="C22" t="inlineStr">
        <is>
          <t>Fully implemented and documented. Processes are standardized and followed consistently.</t>
        </is>
      </c>
    </row>
    <row r="23">
      <c r="A23" s="31" t="inlineStr">
        <is>
          <t>Level 4</t>
        </is>
      </c>
      <c r="B23" t="inlineStr">
        <is>
          <t>Managed</t>
        </is>
      </c>
      <c r="C23" t="inlineStr">
        <is>
          <t>Optimized and continuously improved. Metrics tracked, automated where possible, regularly reviewed.</t>
        </is>
      </c>
    </row>
  </sheetData>
  <mergeCells count="4">
    <mergeCell ref="A2:G2"/>
    <mergeCell ref="A1:G1"/>
    <mergeCell ref="A17:G17"/>
    <mergeCell ref="A4:G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81"/>
  <sheetViews>
    <sheetView workbookViewId="0">
      <pane ySplit="1" topLeftCell="A29" activePane="bottomLeft" state="frozen"/>
      <selection pane="bottomLeft" activeCell="B30" sqref="B30"/>
    </sheetView>
  </sheetViews>
  <sheetFormatPr baseColWidth="8" defaultRowHeight="14.45"/>
  <cols>
    <col width="85.7109375" customWidth="1" style="64" min="1" max="1"/>
    <col width="47.5703125" customWidth="1" style="64" min="2" max="2"/>
    <col width="66.7109375" customWidth="1" style="101" min="4" max="4"/>
    <col width="0.42578125" customWidth="1" style="101" min="10" max="11"/>
  </cols>
  <sheetData>
    <row r="1" ht="27.75" customHeight="1" s="101">
      <c r="A1" s="8" t="inlineStr">
        <is>
          <t>Microsoft 365 Agent Governance Framework</t>
        </is>
      </c>
      <c r="B1" s="9" t="n"/>
      <c r="C1" s="1" t="n"/>
      <c r="D1" s="1" t="n"/>
      <c r="E1" s="1" t="n"/>
    </row>
    <row r="2" ht="21.75" customHeight="1" s="101">
      <c r="A2" s="10" t="inlineStr">
        <is>
          <t>Financial Services Organizations (FSI)</t>
        </is>
      </c>
      <c r="B2" s="11" t="n"/>
      <c r="C2" s="1" t="n"/>
      <c r="D2" s="1" t="n"/>
      <c r="E2" s="1" t="n"/>
    </row>
    <row r="3" ht="20.25" customHeight="1" s="101">
      <c r="A3" s="10" t="inlineStr">
        <is>
          <t>Version 2.0 - December 2025</t>
        </is>
      </c>
      <c r="B3" s="11" t="n"/>
      <c r="C3" s="1" t="n"/>
      <c r="D3" s="1" t="n"/>
      <c r="E3" s="1" t="n"/>
    </row>
    <row r="4" ht="16.5" customHeight="1" s="101">
      <c r="A4" s="2" t="n"/>
      <c r="B4" s="2" t="n"/>
      <c r="C4" s="1" t="n"/>
      <c r="D4" s="1" t="n"/>
      <c r="E4" s="1" t="n"/>
    </row>
    <row r="5" ht="24.75" customHeight="1" s="101">
      <c r="A5" s="59" t="inlineStr">
        <is>
          <t>FRAMEWORK SUMMARY</t>
        </is>
      </c>
      <c r="G5" s="60" t="inlineStr">
        <is>
          <t>⚙️ LICENSING &amp; FEATURE PROFILE</t>
        </is>
      </c>
      <c r="J5" s="47" t="inlineStr">
        <is>
          <t>Lists (do not edit)</t>
        </is>
      </c>
      <c r="K5" s="47" t="n"/>
    </row>
    <row r="6" ht="33" customHeight="1" s="101">
      <c r="A6" s="2" t="inlineStr">
        <is>
          <t>This governance framework provides comprehensive guidance for administering and governing Microsoft 365 agents within financial services organizations.</t>
        </is>
      </c>
      <c r="B6" s="2" t="n"/>
      <c r="C6" s="1" t="n"/>
      <c r="D6" s="1" t="n"/>
      <c r="E6" s="1" t="n"/>
      <c r="G6" s="110" t="inlineStr">
        <is>
          <t>Purview Audit tier</t>
        </is>
      </c>
      <c r="H6" s="45" t="inlineStr">
        <is>
          <t>Standard</t>
        </is>
      </c>
      <c r="J6" s="46" t="inlineStr">
        <is>
          <t>AuditTierList</t>
        </is>
      </c>
      <c r="K6" s="46" t="n"/>
    </row>
    <row r="7" ht="16.5" customHeight="1" s="101">
      <c r="A7" s="2" t="n"/>
      <c r="B7" s="2" t="n"/>
      <c r="C7" s="1" t="n"/>
      <c r="D7" s="1" t="n"/>
      <c r="E7" s="1" t="n"/>
      <c r="G7" s="110" t="inlineStr">
        <is>
          <t>Managed Environments</t>
        </is>
      </c>
      <c r="H7" s="45" t="inlineStr">
        <is>
          <t>Not enabled</t>
        </is>
      </c>
      <c r="J7" s="46" t="inlineStr">
        <is>
          <t>Standard</t>
        </is>
      </c>
      <c r="K7" s="46" t="n"/>
    </row>
    <row r="8" ht="16.5" customHeight="1" s="101">
      <c r="A8" s="2" t="n"/>
      <c r="B8" s="2" t="n"/>
      <c r="C8" s="1" t="n"/>
      <c r="D8" s="1" t="n"/>
      <c r="E8" s="1" t="n"/>
      <c r="G8" s="110" t="n"/>
      <c r="H8" s="45" t="n"/>
      <c r="J8" s="46" t="n"/>
      <c r="K8" s="46" t="n"/>
    </row>
    <row r="9" ht="15.75" customHeight="1" s="101">
      <c r="A9" s="106" t="inlineStr">
        <is>
          <t>GOVERNANCE FUNDAMENTALS - THE FOUNDATION</t>
        </is>
      </c>
      <c r="G9" s="110" t="n"/>
      <c r="H9" s="45" t="n"/>
      <c r="J9" s="46" t="n"/>
      <c r="K9" s="46" t="n"/>
    </row>
    <row r="10" ht="16.5" customHeight="1" s="101">
      <c r="A10" s="2" t="n"/>
      <c r="B10" s="2" t="n"/>
      <c r="C10" s="1" t="n"/>
      <c r="D10" s="1" t="n"/>
      <c r="E10" s="1" t="n"/>
      <c r="G10" s="110" t="n"/>
      <c r="H10" s="45" t="n"/>
      <c r="J10" s="46" t="n"/>
      <c r="K10" s="46" t="n"/>
    </row>
    <row r="11" ht="33" customHeight="1" s="101">
      <c r="A11" s="2" t="inlineStr">
        <is>
          <t>The governance framework rests on THREE foundational pillars (the "Governance Pyramid"):</t>
        </is>
      </c>
      <c r="B11" s="2" t="n"/>
      <c r="C11" s="1" t="n"/>
      <c r="D11" s="1" t="n"/>
      <c r="E11" s="1" t="n"/>
      <c r="G11" s="110" t="n"/>
      <c r="H11" s="45" t="n"/>
      <c r="J11" s="46" t="n"/>
      <c r="K11" s="46" t="n"/>
    </row>
    <row r="12" ht="16.5" customHeight="1" s="101">
      <c r="A12" s="2" t="n"/>
      <c r="B12" s="2" t="n"/>
      <c r="C12" s="1" t="n"/>
      <c r="D12" s="1" t="n"/>
      <c r="E12" s="1" t="n"/>
      <c r="G12" s="110" t="n"/>
      <c r="H12" s="45" t="n"/>
      <c r="J12" s="46" t="n"/>
      <c r="K12" s="46" t="n"/>
    </row>
    <row r="13" ht="16.5" customHeight="1" s="101">
      <c r="A13" s="49" t="inlineStr">
        <is>
          <t>1. POLICY</t>
        </is>
      </c>
      <c r="B13" s="2" t="n"/>
      <c r="C13" s="1" t="n"/>
      <c r="D13" s="1" t="n"/>
      <c r="E13" s="1" t="n"/>
      <c r="G13" s="110" t="n"/>
      <c r="H13" s="45" t="n"/>
      <c r="J13" s="46" t="n"/>
      <c r="K13" s="46" t="n"/>
    </row>
    <row r="14" ht="16.5" customHeight="1" s="101">
      <c r="A14" s="2" t="inlineStr">
        <is>
          <t xml:space="preserve">   What are your organization's agent governance OBJECTIVES?</t>
        </is>
      </c>
      <c r="B14" s="2" t="n"/>
      <c r="C14" s="1" t="n"/>
      <c r="D14" s="1" t="n"/>
      <c r="E14" s="1" t="n"/>
      <c r="G14" s="110" t="n"/>
      <c r="H14" s="45" t="n"/>
      <c r="J14" s="46" t="n"/>
      <c r="K14" s="46" t="n"/>
    </row>
    <row r="15" ht="16.5" customHeight="1" s="101">
      <c r="A15" s="2" t="inlineStr">
        <is>
          <t xml:space="preserve">   Policies define:</t>
        </is>
      </c>
      <c r="B15" s="2" t="n"/>
      <c r="C15" s="1" t="n"/>
      <c r="D15" s="1" t="n"/>
      <c r="E15" s="1" t="n"/>
      <c r="G15" s="110" t="n"/>
      <c r="H15" s="45" t="n"/>
      <c r="J15" s="46" t="n"/>
      <c r="K15" s="46" t="n"/>
    </row>
    <row r="16" ht="16.5" customHeight="1" s="101">
      <c r="A16" s="2" t="inlineStr">
        <is>
          <t xml:space="preserve">   • Acceptable agent use cases (which departments, what data access?)</t>
        </is>
      </c>
      <c r="B16" s="2" t="n"/>
      <c r="C16" s="1" t="n"/>
      <c r="D16" s="1" t="n"/>
      <c r="E16" s="1" t="n"/>
      <c r="G16" s="110" t="n"/>
      <c r="H16" s="45" t="n"/>
      <c r="J16" s="46" t="n"/>
      <c r="K16" s="46" t="n"/>
    </row>
    <row r="17" ht="16.5" customHeight="1" s="101">
      <c r="A17" s="2" t="inlineStr">
        <is>
          <t xml:space="preserve">   • Risk tolerance (how much risk in each zone?)</t>
        </is>
      </c>
      <c r="B17" s="2" t="n"/>
      <c r="C17" s="1" t="n"/>
      <c r="D17" s="1" t="n"/>
      <c r="E17" s="1" t="n"/>
      <c r="G17" s="110" t="n"/>
      <c r="H17" s="45" t="n"/>
      <c r="J17" s="46" t="n"/>
      <c r="K17" s="46" t="n"/>
    </row>
    <row r="18" ht="16.5" customHeight="1" s="101">
      <c r="A18" s="2" t="inlineStr">
        <is>
          <t xml:space="preserve">   • Approval requirements (who approves new agents?)</t>
        </is>
      </c>
      <c r="B18" s="2" t="n"/>
      <c r="C18" s="1" t="n"/>
      <c r="D18" s="1" t="n"/>
      <c r="E18" s="1" t="n"/>
      <c r="G18" s="110" t="n"/>
      <c r="H18" s="45" t="n"/>
      <c r="J18" s="46" t="n"/>
      <c r="K18" s="46" t="n"/>
    </row>
    <row r="19" ht="16.5" customHeight="1" s="101">
      <c r="A19" s="2" t="inlineStr">
        <is>
          <t xml:space="preserve">   • Data access controls (what data can agents access?)</t>
        </is>
      </c>
      <c r="B19" s="2" t="n"/>
      <c r="C19" s="1" t="n"/>
      <c r="D19" s="1" t="n"/>
      <c r="E19" s="1" t="n"/>
      <c r="G19" s="110" t="n"/>
      <c r="H19" s="45" t="n"/>
      <c r="J19" s="46" t="n"/>
      <c r="K19" s="46" t="n"/>
    </row>
    <row r="20" ht="16.5" customHeight="1" s="101">
      <c r="A20" s="2" t="n"/>
      <c r="B20" s="2" t="n"/>
      <c r="C20" s="1" t="n"/>
      <c r="D20" s="1" t="n"/>
      <c r="E20" s="1" t="n"/>
      <c r="G20" s="110" t="n"/>
      <c r="H20" s="45" t="n"/>
      <c r="J20" s="46" t="n"/>
      <c r="K20" s="46" t="n"/>
    </row>
    <row r="21" ht="16.5" customHeight="1" s="101">
      <c r="A21" s="2" t="inlineStr">
        <is>
          <t xml:space="preserve">   Example: "All agents accessing customer data must be Zone 3</t>
        </is>
      </c>
      <c r="B21" s="2" t="n"/>
      <c r="C21" s="1" t="n"/>
      <c r="D21" s="1" t="n"/>
      <c r="E21" s="1" t="n"/>
      <c r="G21" s="110" t="n"/>
      <c r="H21" s="45" t="n"/>
      <c r="J21" s="46" t="n"/>
      <c r="K21" s="46" t="n"/>
    </row>
    <row r="22" ht="16.5" customHeight="1" s="101">
      <c r="A22" s="2" t="inlineStr">
        <is>
          <t xml:space="preserve">            with annual audit trails and compliance review."</t>
        </is>
      </c>
      <c r="B22" s="2" t="n"/>
      <c r="C22" s="1" t="n"/>
      <c r="D22" s="1" t="n"/>
      <c r="E22" s="1" t="n"/>
      <c r="G22" s="110" t="n"/>
      <c r="H22" s="45" t="n"/>
      <c r="J22" s="46" t="n"/>
      <c r="K22" s="46" t="n"/>
    </row>
    <row r="23" ht="16.5" customHeight="1" s="101">
      <c r="A23" s="2" t="n"/>
      <c r="B23" s="2" t="n"/>
      <c r="C23" s="1" t="n"/>
      <c r="D23" s="1" t="n"/>
      <c r="E23" s="1" t="n"/>
      <c r="G23" s="110" t="n"/>
      <c r="H23" s="45" t="n"/>
      <c r="J23" s="46" t="n"/>
      <c r="K23" s="46" t="n"/>
    </row>
    <row r="24" ht="16.5" customHeight="1" s="101">
      <c r="A24" s="49" t="inlineStr">
        <is>
          <t>2. PROCESS</t>
        </is>
      </c>
      <c r="B24" s="2" t="n"/>
      <c r="C24" s="1" t="n"/>
      <c r="D24" s="1" t="n"/>
      <c r="E24" s="1" t="n"/>
      <c r="G24" s="110" t="n"/>
      <c r="H24" s="45" t="n"/>
      <c r="J24" s="46" t="n"/>
      <c r="K24" s="46" t="n"/>
    </row>
    <row r="25" ht="16.5" customHeight="1" s="101">
      <c r="A25" s="2" t="inlineStr">
        <is>
          <t xml:space="preserve">   Who makes governance DECISIONS? What's the workflow?</t>
        </is>
      </c>
      <c r="B25" s="2" t="n"/>
      <c r="C25" s="1" t="n"/>
      <c r="D25" s="1" t="n"/>
      <c r="E25" s="1" t="n"/>
      <c r="G25" s="110" t="n"/>
      <c r="H25" s="45" t="n"/>
      <c r="J25" s="46" t="n"/>
      <c r="K25" s="46" t="n"/>
    </row>
    <row r="26" ht="16.5" customHeight="1" s="101">
      <c r="A26" s="2" t="inlineStr">
        <is>
          <t xml:space="preserve">   • How are agents classified to zones?</t>
        </is>
      </c>
      <c r="B26" s="2" t="n"/>
      <c r="C26" s="1" t="n"/>
      <c r="D26" s="1" t="n"/>
      <c r="E26" s="1" t="n"/>
      <c r="G26" s="110" t="n"/>
      <c r="H26" s="45" t="n"/>
      <c r="J26" s="46" t="n"/>
      <c r="K26" s="46" t="n"/>
    </row>
    <row r="27" ht="16.5" customHeight="1" s="101">
      <c r="A27" s="2" t="inlineStr">
        <is>
          <t xml:space="preserve">   • What's the approval process for Zone 2 and Zone 3 agents?</t>
        </is>
      </c>
      <c r="B27" s="2" t="n"/>
      <c r="C27" s="1" t="n"/>
      <c r="D27" s="1" t="n"/>
      <c r="E27" s="1" t="n"/>
      <c r="G27" s="110" t="n"/>
      <c r="H27" s="45" t="n"/>
      <c r="J27" s="46" t="n"/>
      <c r="K27" s="46" t="n"/>
    </row>
    <row r="28" ht="16.5" customHeight="1" s="101">
      <c r="A28" s="2" t="inlineStr">
        <is>
          <t xml:space="preserve">   • How are violations detected and escalated?</t>
        </is>
      </c>
      <c r="B28" s="2" t="n"/>
      <c r="C28" s="1" t="n"/>
      <c r="D28" s="1" t="n"/>
      <c r="E28" s="1" t="n"/>
      <c r="G28" s="110" t="n"/>
      <c r="H28" s="45" t="n"/>
      <c r="J28" s="46" t="n"/>
      <c r="K28" s="46" t="n"/>
    </row>
    <row r="29" ht="16.5" customHeight="1" s="101">
      <c r="A29" s="2" t="inlineStr">
        <is>
          <t xml:space="preserve">   • Who reviews compliance performance?</t>
        </is>
      </c>
      <c r="B29" s="2" t="n"/>
      <c r="C29" s="1" t="n"/>
      <c r="D29" s="1" t="n"/>
      <c r="E29" s="1" t="n"/>
      <c r="G29" s="110" t="n"/>
      <c r="H29" s="45" t="n"/>
      <c r="J29" s="46" t="n"/>
      <c r="K29" s="46" t="n"/>
    </row>
    <row r="30" ht="16.5" customHeight="1" s="101">
      <c r="A30" s="2" t="n"/>
      <c r="B30" s="2" t="n"/>
      <c r="C30" s="1" t="n"/>
      <c r="D30" s="1" t="n"/>
      <c r="E30" s="1" t="n"/>
      <c r="G30" s="110" t="n"/>
      <c r="H30" s="45" t="n"/>
      <c r="J30" s="46" t="n"/>
      <c r="K30" s="46" t="n"/>
    </row>
    <row r="31" ht="16.5" customHeight="1" s="101">
      <c r="A31" s="2" t="inlineStr">
        <is>
          <t xml:space="preserve">   Example: "New Zone 3 agents require: (1) Compliance review,</t>
        </is>
      </c>
      <c r="B31" s="2" t="n"/>
      <c r="C31" s="1" t="n"/>
      <c r="D31" s="1" t="n"/>
      <c r="E31" s="1" t="n"/>
      <c r="G31" s="110" t="n"/>
      <c r="H31" s="45" t="n"/>
      <c r="J31" s="46" t="n"/>
      <c r="K31" s="46" t="n"/>
    </row>
    <row r="32" ht="16.5" customHeight="1" s="101">
      <c r="A32" s="2" t="inlineStr">
        <is>
          <t xml:space="preserve">            (2) Security testing, (3) Legal sign-off, (4) Governance committee approval"</t>
        </is>
      </c>
      <c r="B32" s="2" t="n"/>
      <c r="C32" s="1" t="n"/>
      <c r="D32" s="1" t="n"/>
      <c r="E32" s="1" t="n"/>
      <c r="G32" s="110" t="n"/>
      <c r="H32" s="45" t="n"/>
      <c r="J32" s="46" t="n"/>
      <c r="K32" s="46" t="n"/>
    </row>
    <row r="33" ht="16.5" customHeight="1" s="101">
      <c r="A33" s="2" t="n"/>
      <c r="B33" s="2" t="n"/>
      <c r="C33" s="1" t="n"/>
      <c r="D33" s="1" t="n"/>
      <c r="E33" s="1" t="n"/>
      <c r="G33" s="110" t="n"/>
      <c r="H33" s="45" t="n"/>
      <c r="J33" s="46" t="n"/>
      <c r="K33" s="46" t="n"/>
    </row>
    <row r="34" ht="16.5" customHeight="1" s="101">
      <c r="A34" s="49" t="inlineStr">
        <is>
          <t>3. PEOPLE</t>
        </is>
      </c>
      <c r="B34" s="2" t="n"/>
      <c r="C34" s="1" t="n"/>
      <c r="D34" s="1" t="n"/>
      <c r="E34" s="1" t="n"/>
      <c r="G34" s="110" t="n"/>
      <c r="H34" s="45" t="n"/>
      <c r="J34" s="46" t="n"/>
      <c r="K34" s="46" t="n"/>
    </row>
    <row r="35" ht="16.5" customHeight="1" s="101">
      <c r="A35" s="2" t="inlineStr">
        <is>
          <t xml:space="preserve">   Who is RESPONSIBLE for governance?</t>
        </is>
      </c>
      <c r="B35" s="2" t="n"/>
      <c r="C35" s="1" t="n"/>
      <c r="D35" s="1" t="n"/>
      <c r="E35" s="1" t="n"/>
      <c r="G35" s="110" t="n"/>
      <c r="H35" s="45" t="n"/>
      <c r="J35" s="46" t="n"/>
      <c r="K35" s="46" t="n"/>
    </row>
    <row r="36" ht="16.5" customHeight="1" s="101">
      <c r="A36" s="2" t="inlineStr">
        <is>
          <t xml:space="preserve">   • Chief Information Security Officer (information security program oversight)</t>
        </is>
      </c>
      <c r="B36" s="2" t="n"/>
      <c r="C36" s="1" t="n"/>
      <c r="D36" s="1" t="n"/>
      <c r="E36" s="1" t="n"/>
      <c r="G36" s="110" t="n"/>
      <c r="H36" s="45" t="n"/>
      <c r="J36" s="46" t="n"/>
      <c r="K36" s="46" t="n"/>
    </row>
    <row r="37" ht="16.5" customHeight="1" s="101">
      <c r="A37" s="2" t="inlineStr">
        <is>
          <t xml:space="preserve">   • Chief Compliance Officer (governance strategy and regulatory alignment)</t>
        </is>
      </c>
      <c r="B37" s="2" t="n"/>
      <c r="C37" s="1" t="n"/>
      <c r="D37" s="1" t="n"/>
      <c r="E37" s="1" t="n"/>
      <c r="G37" s="110" t="n"/>
      <c r="H37" s="45" t="n"/>
      <c r="J37" s="46" t="n"/>
      <c r="K37" s="46" t="n"/>
    </row>
    <row r="38" ht="16.5" customHeight="1" s="101">
      <c r="A38" s="2" t="inlineStr">
        <is>
          <t xml:space="preserve">   • Power Platform Administrator (technical implementation)</t>
        </is>
      </c>
      <c r="B38" s="2" t="n"/>
      <c r="C38" s="1" t="n"/>
      <c r="D38" s="1" t="n"/>
      <c r="E38" s="1" t="n"/>
      <c r="G38" s="110" t="n"/>
      <c r="H38" s="45" t="n"/>
      <c r="J38" s="46" t="n"/>
      <c r="K38" s="46" t="n"/>
    </row>
    <row r="39" ht="16.5" customHeight="1" s="101">
      <c r="A39" s="2" t="inlineStr">
        <is>
          <t xml:space="preserve">   • Compliance Officer (policy enforcement and monitoring)</t>
        </is>
      </c>
      <c r="B39" s="2" t="n"/>
      <c r="C39" s="1" t="n"/>
      <c r="D39" s="1" t="n"/>
      <c r="E39" s="1" t="n"/>
      <c r="G39" s="110" t="n"/>
      <c r="H39" s="45" t="n"/>
      <c r="J39" s="46" t="n"/>
      <c r="K39" s="46" t="n"/>
    </row>
    <row r="40" ht="16.5" customHeight="1" s="101">
      <c r="A40" s="2" t="n"/>
      <c r="B40" s="2" t="n"/>
      <c r="C40" s="1" t="n"/>
      <c r="D40" s="1" t="n"/>
      <c r="E40" s="1" t="n"/>
      <c r="G40" s="110" t="n"/>
      <c r="H40" s="45" t="n"/>
      <c r="J40" s="46" t="n"/>
      <c r="K40" s="46" t="n"/>
    </row>
    <row r="41" ht="16.5" customHeight="1" s="101">
      <c r="A41" s="2" t="inlineStr">
        <is>
          <t xml:space="preserve">   Example: "CISO approves all Zone 3 deployments;</t>
        </is>
      </c>
      <c r="B41" s="2" t="n"/>
      <c r="C41" s="1" t="n"/>
      <c r="D41" s="1" t="n"/>
      <c r="E41" s="1" t="n"/>
      <c r="G41" s="110" t="n"/>
      <c r="H41" s="45" t="n"/>
      <c r="J41" s="46" t="n"/>
      <c r="K41" s="46" t="n"/>
    </row>
    <row r="42" ht="16.5" customHeight="1" s="101">
      <c r="A42" s="2" t="inlineStr">
        <is>
          <t xml:space="preserve">            Compliance Officer monitors for policy violations"</t>
        </is>
      </c>
      <c r="B42" s="2" t="n"/>
      <c r="C42" s="1" t="n"/>
      <c r="D42" s="1" t="n"/>
      <c r="E42" s="1" t="n"/>
      <c r="G42" s="110" t="n"/>
      <c r="H42" s="45" t="n"/>
      <c r="J42" s="46" t="n"/>
      <c r="K42" s="46" t="n"/>
    </row>
    <row r="43" ht="16.5" customHeight="1" s="101">
      <c r="A43" s="2" t="n"/>
      <c r="B43" s="2" t="n"/>
      <c r="C43" s="1" t="n"/>
      <c r="D43" s="1" t="n"/>
      <c r="E43" s="1" t="n"/>
      <c r="G43" s="110" t="n"/>
      <c r="H43" s="45" t="n"/>
      <c r="J43" s="46" t="n"/>
      <c r="K43" s="46" t="n"/>
    </row>
    <row r="44" ht="16.5" customHeight="1" s="101">
      <c r="A44" s="50" t="inlineStr">
        <is>
          <t>⚠️ CRITICAL INSIGHT (from Microsoft Whitepaper):</t>
        </is>
      </c>
      <c r="B44" s="2" t="n"/>
      <c r="C44" s="1" t="n"/>
      <c r="D44" s="1" t="n"/>
      <c r="E44" s="1" t="n"/>
      <c r="G44" s="110" t="n"/>
      <c r="H44" s="45" t="n"/>
      <c r="J44" s="46" t="n"/>
      <c r="K44" s="46" t="n"/>
    </row>
    <row r="45" ht="16.5" customHeight="1" s="101">
      <c r="A45" s="2" t="inlineStr">
        <is>
          <t>Tools alone do NOT create governance. You can have all the technical controls</t>
        </is>
      </c>
      <c r="B45" s="2" t="n"/>
      <c r="C45" s="1" t="n"/>
      <c r="D45" s="1" t="n"/>
      <c r="E45" s="1" t="n"/>
      <c r="G45" s="110" t="n"/>
      <c r="H45" s="45" t="n"/>
      <c r="J45" s="46" t="n"/>
      <c r="K45" s="46" t="n"/>
    </row>
    <row r="46" ht="16.5" customHeight="1" s="101">
      <c r="A46" s="2" t="inlineStr">
        <is>
          <t>in Microsoft 365 (DLP, audit logging, etc.), but without clear policies,</t>
        </is>
      </c>
      <c r="B46" s="2" t="n"/>
      <c r="C46" s="1" t="n"/>
      <c r="D46" s="1" t="n"/>
      <c r="E46" s="1" t="n"/>
      <c r="G46" s="110" t="n"/>
      <c r="H46" s="45" t="n"/>
      <c r="J46" s="46" t="n"/>
      <c r="K46" s="46" t="n"/>
    </row>
    <row r="47" ht="16.5" customHeight="1" s="101">
      <c r="A47" s="2" t="inlineStr">
        <is>
          <t>documented processes, and assigned accountability, governance remains</t>
        </is>
      </c>
      <c r="B47" s="2" t="n"/>
      <c r="C47" s="1" t="n"/>
      <c r="D47" s="1" t="n"/>
      <c r="E47" s="1" t="n"/>
      <c r="G47" s="110" t="n"/>
      <c r="H47" s="45" t="n"/>
      <c r="J47" s="46" t="n"/>
      <c r="K47" s="46" t="n"/>
    </row>
    <row r="48" ht="16.5" customHeight="1" s="101">
      <c r="A48" s="2" t="inlineStr">
        <is>
          <t>ASPIRATIONAL rather than OPERATIONAL.</t>
        </is>
      </c>
      <c r="B48" s="2" t="n"/>
      <c r="C48" s="1" t="n"/>
      <c r="D48" s="1" t="n"/>
      <c r="E48" s="1" t="n"/>
      <c r="G48" s="110" t="n"/>
      <c r="H48" s="45" t="n"/>
      <c r="J48" s="46" t="n"/>
      <c r="K48" s="46" t="n"/>
    </row>
    <row r="49" ht="16.5" customHeight="1" s="101">
      <c r="A49" s="2" t="n"/>
      <c r="B49" s="2" t="n"/>
      <c r="C49" s="1" t="n"/>
      <c r="D49" s="1" t="n"/>
      <c r="E49" s="1" t="n"/>
      <c r="G49" s="110" t="n"/>
      <c r="H49" s="45" t="n"/>
      <c r="J49" s="46" t="n"/>
      <c r="K49" s="46" t="n"/>
    </row>
    <row r="50" ht="16.5" customHeight="1" s="101">
      <c r="A50" s="49" t="inlineStr">
        <is>
          <t>REGULATORY REQUIREMENT:</t>
        </is>
      </c>
      <c r="B50" s="2" t="n"/>
      <c r="C50" s="1" t="n"/>
      <c r="D50" s="1" t="n"/>
      <c r="E50" s="1" t="n"/>
      <c r="G50" s="110" t="n"/>
      <c r="H50" s="45" t="n"/>
      <c r="J50" s="46" t="n"/>
      <c r="K50" s="46" t="n"/>
    </row>
    <row r="51" ht="16.5" customHeight="1" s="101">
      <c r="A51" s="2" t="inlineStr">
        <is>
          <t>• FINRA Rule 3110: explicitly requires "written and oral policies and procedures"</t>
        </is>
      </c>
      <c r="B51" s="2" t="n"/>
      <c r="C51" s="1" t="n"/>
      <c r="D51" s="1" t="n"/>
      <c r="E51" s="1" t="n"/>
      <c r="G51" s="110" t="n"/>
      <c r="H51" s="45" t="n"/>
      <c r="J51" s="46" t="n"/>
      <c r="K51" s="46" t="n"/>
    </row>
    <row r="52" ht="16.5" customHeight="1" s="101">
      <c r="A52" s="2" t="inlineStr">
        <is>
          <t>• SOX 302: requires CEO/CFO certification of governance effectiveness</t>
        </is>
      </c>
      <c r="B52" s="2" t="n"/>
      <c r="C52" s="1" t="n"/>
      <c r="D52" s="1" t="n"/>
      <c r="E52" s="1" t="n"/>
      <c r="G52" s="110" t="n"/>
      <c r="H52" s="45" t="n"/>
      <c r="J52" s="46" t="n"/>
      <c r="K52" s="46" t="n"/>
    </row>
    <row r="53" ht="16.5" customHeight="1" s="101">
      <c r="A53" s="2" t="inlineStr">
        <is>
          <t>• GLBA Safeguards Rule: requires "written information security program"</t>
        </is>
      </c>
      <c r="B53" s="2" t="n"/>
      <c r="C53" s="1" t="n"/>
      <c r="D53" s="1" t="n"/>
      <c r="E53" s="1" t="n"/>
      <c r="G53" s="110" t="n"/>
      <c r="H53" s="45" t="n"/>
      <c r="J53" s="46" t="n"/>
      <c r="K53" s="46" t="n"/>
    </row>
    <row r="54" ht="16.5" customHeight="1" s="101">
      <c r="A54" s="2" t="inlineStr">
        <is>
          <t xml:space="preserve">  with assigned responsibilities</t>
        </is>
      </c>
      <c r="B54" s="2" t="n"/>
      <c r="C54" s="1" t="n"/>
      <c r="D54" s="1" t="n"/>
      <c r="E54" s="1" t="n"/>
      <c r="G54" s="110" t="n"/>
      <c r="H54" s="45" t="n"/>
      <c r="J54" s="46" t="n"/>
      <c r="K54" s="46" t="n"/>
    </row>
    <row r="55" ht="16.5" customHeight="1" s="101">
      <c r="A55" s="2" t="n"/>
      <c r="B55" s="2" t="n"/>
      <c r="C55" s="1" t="n"/>
      <c r="D55" s="1" t="n"/>
      <c r="E55" s="1" t="n"/>
      <c r="G55" s="110" t="n"/>
      <c r="H55" s="45" t="n"/>
      <c r="J55" s="46" t="n"/>
      <c r="K55" s="46" t="n"/>
    </row>
    <row r="56" ht="16.5" customHeight="1" s="101">
      <c r="A56" s="51" t="inlineStr">
        <is>
          <t>NEXT STEP: Use this framework as your foundation before implementing</t>
        </is>
      </c>
      <c r="B56" s="2" t="n"/>
      <c r="C56" s="1" t="n"/>
      <c r="D56" s="1" t="n"/>
      <c r="E56" s="1" t="n"/>
      <c r="G56" s="110" t="n"/>
      <c r="H56" s="45" t="n"/>
      <c r="J56" s="46" t="n"/>
      <c r="K56" s="46" t="n"/>
    </row>
    <row r="57" ht="16.5" customHeight="1" s="101">
      <c r="A57" s="52" t="inlineStr">
        <is>
          <t>the technical controls in the rest of this template.</t>
        </is>
      </c>
      <c r="B57" s="2" t="n"/>
      <c r="C57" s="1" t="n"/>
      <c r="D57" s="1" t="n"/>
      <c r="E57" s="1" t="n"/>
      <c r="G57" s="110" t="n"/>
      <c r="H57" s="45" t="n"/>
      <c r="J57" s="46" t="n"/>
      <c r="K57" s="46" t="n"/>
    </row>
    <row r="58" ht="24.75" customHeight="1" s="101">
      <c r="A58" s="59" t="inlineStr">
        <is>
          <t>SCOPE</t>
        </is>
      </c>
      <c r="G58" s="110" t="inlineStr">
        <is>
          <t>Long-term retention add-on</t>
        </is>
      </c>
      <c r="H58" s="45" t="inlineStr">
        <is>
          <t>No</t>
        </is>
      </c>
      <c r="J58" s="46" t="inlineStr">
        <is>
          <t>Premium</t>
        </is>
      </c>
      <c r="K58" s="46" t="n"/>
    </row>
    <row r="59" ht="16.5" customHeight="1" s="101">
      <c r="A59" s="2" t="inlineStr">
        <is>
          <t>All Microsoft 365 Agent Types:</t>
        </is>
      </c>
      <c r="B59" s="2" t="n"/>
      <c r="C59" s="1" t="n"/>
      <c r="D59" s="1" t="n"/>
      <c r="E59" s="1" t="n"/>
      <c r="G59" s="110" t="inlineStr">
        <is>
          <t>Target governance tier</t>
        </is>
      </c>
      <c r="H59" s="45" t="inlineStr">
        <is>
          <t>Recommended</t>
        </is>
      </c>
      <c r="J59" s="46" t="n"/>
      <c r="K59" s="46" t="n"/>
    </row>
    <row r="60" ht="16.5" customHeight="1" s="101">
      <c r="A60" s="2" t="inlineStr">
        <is>
          <t>• Copilot Studio</t>
        </is>
      </c>
      <c r="B60" s="2" t="n"/>
      <c r="C60" s="1" t="n"/>
      <c r="D60" s="1" t="n"/>
      <c r="E60" s="1" t="n"/>
      <c r="J60" s="46" t="inlineStr">
        <is>
          <t>ManagedEnvList</t>
        </is>
      </c>
      <c r="K60" s="46" t="n"/>
    </row>
    <row r="61" ht="16.5" customHeight="1" s="101">
      <c r="A61" s="2" t="inlineStr">
        <is>
          <t>• SharePoint Agents</t>
        </is>
      </c>
      <c r="B61" s="2" t="n"/>
      <c r="C61" s="1" t="n"/>
      <c r="D61" s="1" t="n"/>
      <c r="E61" s="1" t="n"/>
      <c r="J61" s="46" t="inlineStr">
        <is>
          <t>Enabled</t>
        </is>
      </c>
      <c r="K61" s="46" t="n"/>
    </row>
    <row r="62" ht="16.5" customHeight="1" s="101">
      <c r="A62" s="2" t="inlineStr">
        <is>
          <t>• Agent Builder in Microsoft 365 Copilot</t>
        </is>
      </c>
      <c r="B62" s="2" t="n"/>
      <c r="C62" s="1" t="n"/>
      <c r="D62" s="1" t="n"/>
      <c r="E62" s="1" t="n"/>
      <c r="J62" s="46" t="inlineStr">
        <is>
          <t>Not enabled</t>
        </is>
      </c>
      <c r="K62" s="46" t="n"/>
    </row>
    <row r="63" ht="33" customHeight="1" s="101">
      <c r="A63" s="2" t="inlineStr">
        <is>
          <t>• Pro Developer Tools (Teams Toolkit, Microsoft Foundry / Azure AI Foundry, custom models)</t>
        </is>
      </c>
      <c r="B63" s="2" t="n"/>
      <c r="C63" s="1" t="n"/>
      <c r="D63" s="1" t="n"/>
      <c r="E63" s="1" t="n"/>
      <c r="J63" s="46" t="n"/>
      <c r="K63" s="46" t="n"/>
    </row>
    <row r="64" ht="16.5" customHeight="1" s="101">
      <c r="A64" s="2" t="n"/>
      <c r="B64" s="2" t="n"/>
      <c r="C64" s="1" t="n"/>
      <c r="D64" s="1" t="n"/>
      <c r="E64" s="1" t="n"/>
      <c r="J64" s="46" t="inlineStr">
        <is>
          <t>LongTermRetentionAddOnList</t>
        </is>
      </c>
      <c r="K64" s="46" t="n"/>
    </row>
    <row r="65" ht="24.75" customHeight="1" s="101">
      <c r="A65" s="59" t="inlineStr">
        <is>
          <t>TARGET AUDIENCE</t>
        </is>
      </c>
      <c r="J65" s="46" t="inlineStr">
        <is>
          <t>Yes</t>
        </is>
      </c>
      <c r="K65" s="46" t="n"/>
    </row>
    <row r="66" ht="16.5" customHeight="1" s="101">
      <c r="A66" s="2" t="inlineStr">
        <is>
          <t>Financial Services Organizations subject to FINRA, SEC, SOX, and GLBA regulations</t>
        </is>
      </c>
      <c r="B66" s="2" t="n"/>
      <c r="C66" s="1" t="n"/>
      <c r="D66" s="1" t="n"/>
      <c r="E66" s="1" t="n"/>
      <c r="J66" s="46" t="inlineStr">
        <is>
          <t>No</t>
        </is>
      </c>
      <c r="K66" s="46" t="n"/>
    </row>
    <row r="67" ht="16.5" customHeight="1" s="101">
      <c r="A67" s="2" t="n"/>
      <c r="B67" s="2" t="n"/>
      <c r="C67" s="1" t="n"/>
      <c r="D67" s="1" t="n"/>
      <c r="E67" s="1" t="n"/>
      <c r="J67" s="46" t="n"/>
      <c r="K67" s="46" t="n"/>
    </row>
    <row r="68" ht="24.75" customHeight="1" s="101">
      <c r="A68" s="59" t="inlineStr">
        <is>
          <t>KEY GOVERNANCE PILLARS</t>
        </is>
      </c>
      <c r="J68" s="46" t="inlineStr">
        <is>
          <t>TargetGovTierList</t>
        </is>
      </c>
      <c r="K68" s="46" t="n"/>
    </row>
    <row r="69" ht="33" customHeight="1" s="101">
      <c r="A69" s="2" t="inlineStr">
        <is>
          <t>1. Security Controls</t>
        </is>
      </c>
      <c r="B69" s="2" t="inlineStr">
        <is>
          <t>Protect data and systems from unauthorized access, misuse, exploitation</t>
        </is>
      </c>
      <c r="C69" s="1" t="n"/>
      <c r="D69" s="1" t="n"/>
      <c r="E69" s="1" t="n"/>
      <c r="J69" s="46" t="inlineStr">
        <is>
          <t>Baseline</t>
        </is>
      </c>
      <c r="K69" s="46" t="n"/>
    </row>
    <row r="70" ht="33" customHeight="1" s="101">
      <c r="A70" s="2" t="inlineStr">
        <is>
          <t>2. Management Controls</t>
        </is>
      </c>
      <c r="B70" s="2" t="inlineStr">
        <is>
          <t>Govern agent lifecycle, access control, change management</t>
        </is>
      </c>
      <c r="C70" s="1" t="n"/>
      <c r="D70" s="1" t="n"/>
      <c r="E70" s="1" t="n"/>
      <c r="J70" s="46" t="inlineStr">
        <is>
          <t>Recommended</t>
        </is>
      </c>
      <c r="K70" s="46" t="n"/>
    </row>
    <row r="71" ht="33" customHeight="1" s="101">
      <c r="A71" s="2" t="inlineStr">
        <is>
          <t>3. Agent Reporting</t>
        </is>
      </c>
      <c r="B71" s="2" t="inlineStr">
        <is>
          <t>Visibility and monitoring of agent activities, performance, compliance</t>
        </is>
      </c>
      <c r="C71" s="1" t="n"/>
      <c r="D71" s="1" t="n"/>
      <c r="E71" s="1" t="n"/>
      <c r="J71" s="46" t="inlineStr">
        <is>
          <t>Regulated/High-risk</t>
        </is>
      </c>
      <c r="K71" s="46" t="n"/>
    </row>
    <row r="72" ht="16.5" customHeight="1" s="101">
      <c r="A72" s="2" t="n"/>
      <c r="B72" s="2" t="n"/>
      <c r="C72" s="1" t="n"/>
      <c r="D72" s="1" t="n"/>
      <c r="E72" s="1" t="n"/>
      <c r="J72" s="46" t="n"/>
      <c r="K72" s="46" t="n"/>
    </row>
    <row r="73" ht="24.75" customHeight="1" s="101">
      <c r="A73" s="59" t="inlineStr">
        <is>
          <t>GOVERNANCE MATURITY ZONES</t>
        </is>
      </c>
      <c r="J73" s="46" t="n"/>
      <c r="K73" s="46" t="n"/>
    </row>
    <row r="74" ht="33" customHeight="1" s="101">
      <c r="A74" s="2" t="inlineStr">
        <is>
          <t>Zone 1: Personal Productivity</t>
        </is>
      </c>
      <c r="B74" s="2" t="inlineStr">
        <is>
          <t>Individual development, low risk, isolated environments</t>
        </is>
      </c>
      <c r="C74" s="1" t="n"/>
      <c r="D74" s="1" t="n"/>
      <c r="E74" s="1" t="n"/>
      <c r="J74" s="46" t="n"/>
      <c r="K74" s="46" t="n"/>
    </row>
    <row r="75" ht="33.6" customHeight="1" s="101">
      <c r="A75" s="2" t="inlineStr">
        <is>
          <t>Zone 2: Team Collaboration</t>
        </is>
      </c>
      <c r="B75" s="2" t="inlineStr">
        <is>
          <t>Team/departmental agents, medium risk, internal data</t>
        </is>
      </c>
      <c r="C75" s="1" t="n"/>
      <c r="D75" s="1" t="n"/>
      <c r="E75" s="1" t="n"/>
    </row>
    <row r="76" ht="33.6" customHeight="1" s="101">
      <c r="A76" s="2" t="inlineStr">
        <is>
          <t>Zone 3: Enterprise Managed</t>
        </is>
      </c>
      <c r="B76" s="2" t="inlineStr">
        <is>
          <t>Organization-wide production, high risk, strict controls</t>
        </is>
      </c>
      <c r="C76" s="1" t="n"/>
      <c r="D76" s="1" t="n"/>
      <c r="E76" s="1" t="n"/>
    </row>
    <row r="78" ht="24.75" customHeight="1" s="101">
      <c r="A78" s="103" t="inlineStr">
        <is>
          <t>VERSION HISTORY</t>
        </is>
      </c>
    </row>
    <row r="79">
      <c r="A79" s="32" t="inlineStr">
        <is>
          <t>Version</t>
        </is>
      </c>
      <c r="B79" s="32" t="inlineStr">
        <is>
          <t>Date</t>
        </is>
      </c>
      <c r="C79" s="19" t="inlineStr">
        <is>
          <t>Author</t>
        </is>
      </c>
      <c r="D79" s="19" t="inlineStr">
        <is>
          <t>Changes</t>
        </is>
      </c>
      <c r="E79" s="19" t="inlineStr">
        <is>
          <t>Approved By</t>
        </is>
      </c>
    </row>
    <row r="80">
      <c r="A80" s="64" t="n">
        <v>2</v>
      </c>
      <c r="B80" s="64" t="inlineStr">
        <is>
          <t>[Update Date]</t>
        </is>
      </c>
      <c r="C80" t="inlineStr">
        <is>
          <t>[Your Name]</t>
        </is>
      </c>
      <c r="D80" t="inlineStr">
        <is>
          <t>Enhanced with assessment tracking, dashboard, use cases, runbooks, RACI matrix, exam prep</t>
        </is>
      </c>
      <c r="E80" t="inlineStr">
        <is>
          <t>[Approver Name]</t>
        </is>
      </c>
    </row>
    <row r="81">
      <c r="A81" s="64" t="n">
        <v>1</v>
      </c>
      <c r="B81" s="42" t="n">
        <v>45992</v>
      </c>
      <c r="C81" t="inlineStr">
        <is>
          <t>[Author]</t>
        </is>
      </c>
      <c r="D81" t="inlineStr">
        <is>
          <t>Initial framework release</t>
        </is>
      </c>
      <c r="E81" t="inlineStr">
        <is>
          <t>[Approver]</t>
        </is>
      </c>
    </row>
  </sheetData>
  <mergeCells count="8">
    <mergeCell ref="A65:E65"/>
    <mergeCell ref="A78:E78"/>
    <mergeCell ref="A73:E73"/>
    <mergeCell ref="A68:E68"/>
    <mergeCell ref="G5:H5"/>
    <mergeCell ref="A5:E5"/>
    <mergeCell ref="A58:E58"/>
    <mergeCell ref="A9:E9"/>
  </mergeCells>
  <dataValidations count="4">
    <dataValidation sqref="H6" showDropDown="0" showInputMessage="1" showErrorMessage="1" allowBlank="1" type="list">
      <formula1>AuditTierList</formula1>
    </dataValidation>
    <dataValidation sqref="H7:H57" showDropDown="0" showInputMessage="1" showErrorMessage="1" allowBlank="1" type="list">
      <formula1>ManagedEnvList</formula1>
    </dataValidation>
    <dataValidation sqref="H58" showDropDown="0" showInputMessage="1" showErrorMessage="1" allowBlank="1" type="list">
      <formula1>LongTermRetentionAddOnList</formula1>
    </dataValidation>
    <dataValidation sqref="H59" showDropDown="0" showInputMessage="1" showErrorMessage="1" allowBlank="1" type="list">
      <formula1>TargetGovTierList</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7"/>
  <sheetViews>
    <sheetView workbookViewId="0">
      <selection activeCell="A1" sqref="A1:H1"/>
    </sheetView>
  </sheetViews>
  <sheetFormatPr baseColWidth="8" defaultRowHeight="14.45"/>
  <cols>
    <col width="30.42578125" customWidth="1" style="101" min="1" max="1"/>
    <col width="38.140625" customWidth="1" style="101" min="2" max="2"/>
    <col width="19" customWidth="1" style="101" min="3" max="3"/>
    <col width="26.7109375" customWidth="1" style="101" min="4" max="4"/>
    <col width="41.85546875" customWidth="1" style="101" min="5" max="5"/>
    <col width="30.42578125" customWidth="1" style="101" min="6" max="6"/>
    <col width="15.28515625" customWidth="1" style="101" min="7" max="7"/>
    <col width="34.28515625" customWidth="1" style="101" min="8" max="8"/>
  </cols>
  <sheetData>
    <row r="1" ht="35.25" customHeight="1" s="101">
      <c r="A1" s="107" t="inlineStr">
        <is>
          <t>FSI AGENT USE CASES &amp; ZONE CLASSIFICATION</t>
        </is>
      </c>
    </row>
    <row r="2">
      <c r="A2" s="108" t="inlineStr">
        <is>
          <t>Common Financial Services agent scenarios with recommended governance zones and key controls</t>
        </is>
      </c>
    </row>
    <row r="4" ht="24.75" customHeight="1" s="101">
      <c r="A4" s="103" t="inlineStr">
        <is>
          <t>PRIMARY FSI USE CASES</t>
        </is>
      </c>
    </row>
    <row r="5" ht="30" customHeight="1" s="101">
      <c r="A5" s="32" t="inlineStr">
        <is>
          <t>Use Case</t>
        </is>
      </c>
      <c r="B5" s="32" t="inlineStr">
        <is>
          <t>Description</t>
        </is>
      </c>
      <c r="C5" s="32" t="inlineStr">
        <is>
          <t>Typical Zone</t>
        </is>
      </c>
      <c r="D5" s="32" t="inlineStr">
        <is>
          <t>Data Sensitivity</t>
        </is>
      </c>
      <c r="E5" s="32" t="inlineStr">
        <is>
          <t>Key Controls Required</t>
        </is>
      </c>
      <c r="F5" s="32" t="inlineStr">
        <is>
          <t>Regulatory Focus</t>
        </is>
      </c>
      <c r="G5" s="32" t="inlineStr">
        <is>
          <t>Risk Level</t>
        </is>
      </c>
      <c r="H5" s="32" t="inlineStr">
        <is>
          <t>Example Scenarios</t>
        </is>
      </c>
    </row>
    <row r="6" ht="80.25" customHeight="1" s="101">
      <c r="A6" s="33" t="inlineStr">
        <is>
          <t>HR / Employee Service Agent</t>
        </is>
      </c>
      <c r="B6" s="33" t="inlineStr">
        <is>
          <t>Answers employee questions about benefits, policies, PTO, payroll, onboarding. Accesses HR systems and employee records.</t>
        </is>
      </c>
      <c r="C6" s="33" t="inlineStr">
        <is>
          <t>Zone 2 or Zone 3</t>
        </is>
      </c>
      <c r="D6" s="33" t="inlineStr">
        <is>
          <t>HIGH - PII, compensation data, performance records</t>
        </is>
      </c>
      <c r="E6" s="33" t="inlineStr">
        <is>
          <t>DLP (Strict), DSPM for AI, Sensitivity Labels, Audit Logging (1yr+), Agent Publishing Restriction</t>
        </is>
      </c>
      <c r="F6" s="33" t="inlineStr">
        <is>
          <t>GLBA 501(b), FINRA Rule 4511, SOX 302, SEC Reg BI (if advisory AI), SEC Rule 10b-5 (if trading)</t>
        </is>
      </c>
      <c r="G6" s="33" t="inlineStr">
        <is>
          <t>Medium-High</t>
        </is>
      </c>
      <c r="H6" s="33" t="inlineStr">
        <is>
          <t>• Benefits enrollment assistant
• Policy Q&amp;A bot
• Onboarding guide
• Time-off request helper</t>
        </is>
      </c>
    </row>
    <row r="7" ht="80.25" customHeight="1" s="101">
      <c r="A7" s="33" t="inlineStr">
        <is>
          <t>IT Help Desk Agent</t>
        </is>
      </c>
      <c r="B7" s="33" t="inlineStr">
        <is>
          <t>Assists employees with IT support requests, password resets, software installation, troubleshooting. May integrate with ticketing systems.</t>
        </is>
      </c>
      <c r="C7" s="33" t="inlineStr">
        <is>
          <t>Zone 2</t>
        </is>
      </c>
      <c r="D7" s="33" t="inlineStr">
        <is>
          <t>MEDIUM - System access, credentials, network info</t>
        </is>
      </c>
      <c r="E7" s="33" t="inlineStr">
        <is>
          <t>Advanced Connector Policies, Managed Environments, Environment Routing, Runtime Protection</t>
        </is>
      </c>
      <c r="F7" s="33" t="inlineStr">
        <is>
          <t>FINRA Rule 4511, GLBA 501(b)</t>
        </is>
      </c>
      <c r="G7" s="33" t="inlineStr">
        <is>
          <t>Medium</t>
        </is>
      </c>
      <c r="H7" s="33" t="inlineStr">
        <is>
          <t>• Password reset assistant
• Software request bot
• Troubleshooting guide
• Ticket status checker</t>
        </is>
      </c>
    </row>
    <row r="8" ht="80.25" customHeight="1" s="101">
      <c r="A8" s="33" t="inlineStr">
        <is>
          <t>Document Processing Agent</t>
        </is>
      </c>
      <c r="B8" s="33" t="inlineStr">
        <is>
          <t>Extracts, summarizes, and processes financial documents (contracts, statements, reports). May handle regulatory filings.</t>
        </is>
      </c>
      <c r="C8" s="33" t="inlineStr">
        <is>
          <t>Zone 3</t>
        </is>
      </c>
      <c r="D8" s="33" t="inlineStr">
        <is>
          <t>HIGH - Financial data, contracts, client info</t>
        </is>
      </c>
      <c r="E8" s="33" t="inlineStr">
        <is>
          <t>DLP (Strictest), DSPM for AI, SharePoint Permissions, Audit Logging (10yr), ALM with Pipelines</t>
        </is>
      </c>
      <c r="F8" s="33" t="inlineStr">
        <is>
          <t>SEC Rule 17a-3/4 (recordkeeping for trading docs), SEC AI disclosure, SOX 404, FINRA Rule 4511, GLBA 501(b)</t>
        </is>
      </c>
      <c r="G8" s="33" t="inlineStr">
        <is>
          <t>High</t>
        </is>
      </c>
      <c r="H8" s="33" t="inlineStr">
        <is>
          <t>• Contract analyzer
• Statement summarizer
• Regulatory filing assistant
• Report generator</t>
        </is>
      </c>
    </row>
    <row r="10" ht="24.75" customHeight="1" s="101">
      <c r="A10" s="104" t="inlineStr">
        <is>
          <t>ADDITIONAL FSI USE CASES</t>
        </is>
      </c>
    </row>
    <row r="11">
      <c r="A11" s="19" t="inlineStr">
        <is>
          <t>Use Case</t>
        </is>
      </c>
      <c r="B11" s="19" t="inlineStr">
        <is>
          <t>Description</t>
        </is>
      </c>
      <c r="C11" s="19" t="inlineStr">
        <is>
          <t>Typical Zone</t>
        </is>
      </c>
      <c r="D11" s="19" t="inlineStr">
        <is>
          <t>Data Sensitivity</t>
        </is>
      </c>
      <c r="E11" s="19" t="inlineStr">
        <is>
          <t>Key Controls Required</t>
        </is>
      </c>
      <c r="F11" s="19" t="inlineStr">
        <is>
          <t>Regulatory Focus</t>
        </is>
      </c>
      <c r="G11" s="19" t="inlineStr">
        <is>
          <t>Risk Level</t>
        </is>
      </c>
      <c r="H11" s="19" t="inlineStr">
        <is>
          <t>Example Scenarios</t>
        </is>
      </c>
    </row>
    <row r="12" ht="244.5" customHeight="1" s="101">
      <c r="A12" s="33" t="inlineStr">
        <is>
          <t>Compliance Monitoring Agent</t>
        </is>
      </c>
      <c r="B12" s="33" t="inlineStr">
        <is>
          <t>Monitors transactions and communications for compliance violations. Alerts on suspicious activity.</t>
        </is>
      </c>
      <c r="C12" s="33" t="inlineStr">
        <is>
          <t>Zone 3</t>
        </is>
      </c>
      <c r="D12" s="33" t="inlineStr">
        <is>
          <t>CRITICAL - Transaction data, communications</t>
        </is>
      </c>
      <c r="E12" s="33" t="inlineStr">
        <is>
          <t>Runtime Protection, DSPM for AI, Comprehensive Audit Logging, DLP (Strictest)
GOVERNANCE PRACTICES ALIGNED WITH FINRA NOTICE 25-07 TOPICS (not prescriptive requirements):
• Model Risk Management - validate agent accuracy and reliability
• Data Privacy &amp; Integrity - protect customer information in grounding/training
• Supervision &amp; Governance (FINRA Rule 3110) - written policies and oversight
• Monitor agent performance vs. baseline (monthly/quarterly)
• Document model validation and testing results</t>
        </is>
      </c>
      <c r="F12" s="33" t="inlineStr">
        <is>
          <t>FINRA Regulatory Notice 25-07 (discusses model risk topics - not prescriptive), SEC Rule 10b-5 (market surveillance), SEC Division of Examinations guidance, GLBA 501(b)</t>
        </is>
      </c>
      <c r="G12" s="33" t="inlineStr">
        <is>
          <t>Critical</t>
        </is>
      </c>
      <c r="H12" s="33" t="inlineStr">
        <is>
          <t>• Trade surveillance
• Communication monitoring
• AML screening assistant</t>
        </is>
      </c>
    </row>
    <row r="13" ht="69.75" customHeight="1" s="101">
      <c r="A13" s="33" t="inlineStr">
        <is>
          <t>Research Assistant Agent</t>
        </is>
      </c>
      <c r="B13" s="33" t="inlineStr">
        <is>
          <t>Helps analysts research markets, companies, and investments. Summarizes reports and data.</t>
        </is>
      </c>
      <c r="C13" s="33" t="inlineStr">
        <is>
          <t>Zone 2</t>
        </is>
      </c>
      <c r="D13" s="33" t="inlineStr">
        <is>
          <t>MEDIUM - Market data, research reports</t>
        </is>
      </c>
      <c r="E13" s="33" t="inlineStr">
        <is>
          <t>Advanced Connector Policies, Sensitivity Labels, Managed Environments</t>
        </is>
      </c>
      <c r="F13" s="33" t="inlineStr">
        <is>
          <t>SEC Reg BI (if advisory), SEC AI disclosure guidance, FINRA Rule 4511</t>
        </is>
      </c>
      <c r="G13" s="33" t="inlineStr">
        <is>
          <t>Medium</t>
        </is>
      </c>
      <c r="H13" s="33" t="inlineStr">
        <is>
          <t>• Market research bot
• Company analysis assistant
• News summarizer</t>
        </is>
      </c>
    </row>
    <row r="14" ht="69.75" customHeight="1" s="101">
      <c r="A14" s="33" t="inlineStr">
        <is>
          <t>Client Service Agent</t>
        </is>
      </c>
      <c r="B14" s="33" t="inlineStr">
        <is>
          <t>Assists with client inquiries, account information, and service requests. May be customer-facing.</t>
        </is>
      </c>
      <c r="C14" s="33" t="inlineStr">
        <is>
          <t>Zone 3</t>
        </is>
      </c>
      <c r="D14" s="33" t="inlineStr">
        <is>
          <t>HIGH - Client PII, account data</t>
        </is>
      </c>
      <c r="E14" s="33" t="inlineStr">
        <is>
          <t>DLP (Strictest), Runtime Protection, DSPM for AI, Audit Logging (10yr)</t>
        </is>
      </c>
      <c r="F14" s="33" t="inlineStr">
        <is>
          <t>GLBA 501/504/505, FINRA Rule 4511, SEC Rule 17a-3/4, SEC Rule 10b-5 (fair dealing), SEC Reg BI (if advisory)</t>
        </is>
      </c>
      <c r="G14" s="33" t="inlineStr">
        <is>
          <t>High</t>
        </is>
      </c>
      <c r="H14" s="33" t="inlineStr">
        <is>
          <t>• Account inquiry bot
• Service request handler
• FAQ assistant</t>
        </is>
      </c>
    </row>
    <row r="15" ht="69.75" customHeight="1" s="101">
      <c r="A15" s="33" t="inlineStr">
        <is>
          <t>Risk Assessment Agent</t>
        </is>
      </c>
      <c r="B15" s="33" t="inlineStr">
        <is>
          <t>Evaluates risk profiles, credit decisions, and portfolio analysis. Supports risk management functions.</t>
        </is>
      </c>
      <c r="C15" s="33" t="inlineStr">
        <is>
          <t>Zone 3</t>
        </is>
      </c>
      <c r="D15" s="33" t="inlineStr">
        <is>
          <t>HIGH - Financial models, client data</t>
        </is>
      </c>
      <c r="E15" s="33" t="inlineStr">
        <is>
          <t>ALM with Pipelines, Environment Groups, Comprehensive Audit Logging</t>
        </is>
      </c>
      <c r="F15" s="33" t="inlineStr">
        <is>
          <t>SOX 302/404, FINRA Rule 4511, SEC Reg BI, SEC Rule 17a-3/4, SEC AI disclosure guidance, SEC Division of Examinations guidance</t>
        </is>
      </c>
      <c r="G15" s="33" t="inlineStr">
        <is>
          <t>High</t>
        </is>
      </c>
      <c r="H15" s="33" t="inlineStr">
        <is>
          <t>• Credit scoring assistant
• Portfolio risk analyzer
• Model validation helper</t>
        </is>
      </c>
    </row>
    <row r="16" ht="69.75" customHeight="1" s="101">
      <c r="A16" s="33" t="inlineStr">
        <is>
          <t>Training &amp; Learning Agent</t>
        </is>
      </c>
      <c r="B16" s="33" t="inlineStr">
        <is>
          <t>Delivers compliance training, answers policy questions, tracks certifications.</t>
        </is>
      </c>
      <c r="C16" s="33" t="inlineStr">
        <is>
          <t>Zone 1 or Zone 2</t>
        </is>
      </c>
      <c r="D16" s="33" t="inlineStr">
        <is>
          <t>LOW-MEDIUM - Training materials, certifications</t>
        </is>
      </c>
      <c r="E16" s="33" t="inlineStr">
        <is>
          <t>Maker Welcome Content, Managed Environments</t>
        </is>
      </c>
      <c r="F16" s="33" t="inlineStr">
        <is>
          <t>FINRA 4512, GLBA 501(a)</t>
        </is>
      </c>
      <c r="G16" s="33" t="inlineStr">
        <is>
          <t>Low</t>
        </is>
      </c>
      <c r="H16" s="33" t="inlineStr">
        <is>
          <t>• Compliance training bot
• Certification tracker
• Policy quiz assistant</t>
        </is>
      </c>
    </row>
    <row r="17" ht="69.75" customHeight="1" s="101">
      <c r="A17" s="33" t="inlineStr">
        <is>
          <t>Meeting Assistant Agent</t>
        </is>
      </c>
      <c r="B17" s="33" t="inlineStr">
        <is>
          <t>Summarizes meetings, creates action items, schedules follow-ups. General productivity tool.</t>
        </is>
      </c>
      <c r="C17" s="33" t="inlineStr">
        <is>
          <t>Zone 1</t>
        </is>
      </c>
      <c r="D17" s="33" t="inlineStr">
        <is>
          <t>LOW - Meeting notes, calendars</t>
        </is>
      </c>
      <c r="E17" s="33" t="inlineStr">
        <is>
          <t>Basic DLP, Environment Routing</t>
        </is>
      </c>
      <c r="F17" s="33" t="inlineStr">
        <is>
          <t>FINRA Rule 4511</t>
        </is>
      </c>
      <c r="G17" s="33" t="inlineStr">
        <is>
          <t>Low</t>
        </is>
      </c>
      <c r="H17" s="33" t="inlineStr">
        <is>
          <t>• Meeting summarizer
• Action item tracker
• Calendar assistant</t>
        </is>
      </c>
    </row>
    <row r="19" ht="24.75" customHeight="1" s="101">
      <c r="A19" s="103" t="inlineStr">
        <is>
          <t>ZONE CLASSIFICATION DECISION GUIDE</t>
        </is>
      </c>
    </row>
    <row r="20">
      <c r="A20" s="19" t="inlineStr">
        <is>
          <t>Question</t>
        </is>
      </c>
      <c r="B20" s="19" t="inlineStr">
        <is>
          <t>Zone 1</t>
        </is>
      </c>
      <c r="C20" s="19" t="inlineStr">
        <is>
          <t>Zone 2</t>
        </is>
      </c>
      <c r="D20" s="19" t="inlineStr">
        <is>
          <t>Zone 3</t>
        </is>
      </c>
    </row>
    <row r="21">
      <c r="A21" t="inlineStr">
        <is>
          <t>Who uses the agent?</t>
        </is>
      </c>
      <c r="B21" s="31" t="inlineStr">
        <is>
          <t>Individual only</t>
        </is>
      </c>
      <c r="C21" s="29" t="inlineStr">
        <is>
          <t>Team/Department</t>
        </is>
      </c>
      <c r="D21" s="27" t="inlineStr">
        <is>
          <t>Organization-wide</t>
        </is>
      </c>
    </row>
    <row r="22">
      <c r="A22" t="inlineStr">
        <is>
          <t>Data accessed?</t>
        </is>
      </c>
      <c r="B22" s="31" t="inlineStr">
        <is>
          <t>Microsoft Graph only</t>
        </is>
      </c>
      <c r="C22" s="29" t="inlineStr">
        <is>
          <t>Internal departmental data</t>
        </is>
      </c>
      <c r="D22" s="27" t="inlineStr">
        <is>
          <t>Sensitive/Regulated data</t>
        </is>
      </c>
    </row>
    <row r="23">
      <c r="A23" t="inlineStr">
        <is>
          <t>Customer-facing?</t>
        </is>
      </c>
      <c r="B23" s="31" t="inlineStr">
        <is>
          <t>No</t>
        </is>
      </c>
      <c r="C23" s="29" t="inlineStr">
        <is>
          <t>No (internal only)</t>
        </is>
      </c>
      <c r="D23" s="27" t="inlineStr">
        <is>
          <t>Yes or handles client data</t>
        </is>
      </c>
    </row>
    <row r="24">
      <c r="A24" t="inlineStr">
        <is>
          <t>Regulatory scrutiny?</t>
        </is>
      </c>
      <c r="B24" s="31" t="inlineStr">
        <is>
          <t>Minimal</t>
        </is>
      </c>
      <c r="C24" s="29" t="inlineStr">
        <is>
          <t>Moderate</t>
        </is>
      </c>
      <c r="D24" s="27" t="inlineStr">
        <is>
          <t>High (audit-critical)</t>
        </is>
      </c>
    </row>
    <row r="25">
      <c r="A25" t="inlineStr">
        <is>
          <t>Business impact if fails?</t>
        </is>
      </c>
      <c r="B25" s="31" t="inlineStr">
        <is>
          <t>Low - inconvenience</t>
        </is>
      </c>
      <c r="C25" s="29" t="inlineStr">
        <is>
          <t>Medium - workflow disruption</t>
        </is>
      </c>
      <c r="D25" s="27" t="inlineStr">
        <is>
          <t>High - financial/reputational</t>
        </is>
      </c>
    </row>
    <row r="26">
      <c r="A26" t="inlineStr">
        <is>
          <t>Approval required?</t>
        </is>
      </c>
      <c r="B26" s="31" t="inlineStr">
        <is>
          <t>Self-service</t>
        </is>
      </c>
      <c r="C26" s="29" t="inlineStr">
        <is>
          <t>Manager/Department head</t>
        </is>
      </c>
      <c r="D26" s="27" t="inlineStr">
        <is>
          <t>Governance committee + Legal</t>
        </is>
      </c>
    </row>
    <row r="27">
      <c r="A27" t="inlineStr">
        <is>
          <t>Audit retention needed?</t>
        </is>
      </c>
      <c r="B27" s="31" t="inlineStr">
        <is>
          <t>180 days</t>
        </is>
      </c>
      <c r="C27" s="29" t="inlineStr">
        <is>
          <t>1 year</t>
        </is>
      </c>
      <c r="D27" s="27" t="inlineStr">
        <is>
          <t>10 years</t>
        </is>
      </c>
    </row>
  </sheetData>
  <mergeCells count="5">
    <mergeCell ref="A4:H4"/>
    <mergeCell ref="A2:H2"/>
    <mergeCell ref="A10:H10"/>
    <mergeCell ref="A19:H19"/>
    <mergeCell ref="A1:H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7" sqref="A17"/>
    </sheetView>
  </sheetViews>
  <sheetFormatPr baseColWidth="8" defaultRowHeight="14.45"/>
  <cols>
    <col width="85.7109375" customWidth="1" style="101" min="1" max="1"/>
    <col width="81.42578125" bestFit="1" customWidth="1" style="64" min="2" max="2"/>
    <col width="49" bestFit="1" customWidth="1" style="64" min="3" max="3"/>
    <col width="13.28515625" bestFit="1" customWidth="1" style="101" min="4" max="4"/>
    <col width="28.140625" bestFit="1" customWidth="1" style="64" min="5" max="5"/>
  </cols>
  <sheetData>
    <row r="1" ht="18" customHeight="1" s="101">
      <c r="A1" s="61" t="inlineStr">
        <is>
          <t>ZONES OVERVIEW</t>
        </is>
      </c>
      <c r="B1" s="127" t="n"/>
      <c r="C1" s="127" t="n"/>
      <c r="D1" s="127" t="n"/>
      <c r="E1" s="127" t="n"/>
    </row>
    <row r="2" ht="18" customHeight="1" s="101">
      <c r="A2" s="5" t="inlineStr">
        <is>
          <t>Zone</t>
        </is>
      </c>
      <c r="B2" s="5" t="inlineStr">
        <is>
          <t>Name</t>
        </is>
      </c>
      <c r="C2" s="5" t="inlineStr">
        <is>
          <t>Purpose</t>
        </is>
      </c>
      <c r="D2" s="5" t="inlineStr">
        <is>
          <t>Risk Level</t>
        </is>
      </c>
      <c r="E2" s="5" t="inlineStr">
        <is>
          <t>Data Access</t>
        </is>
      </c>
    </row>
    <row r="3" ht="18" customHeight="1" s="101">
      <c r="A3" s="2" t="inlineStr">
        <is>
          <t>Zone 1</t>
        </is>
      </c>
      <c r="B3" s="2" t="inlineStr">
        <is>
          <t>Personal Productivity</t>
        </is>
      </c>
      <c r="C3" s="2" t="inlineStr">
        <is>
          <t>Individual agent development in isolated environments</t>
        </is>
      </c>
      <c r="D3" s="2" t="inlineStr">
        <is>
          <t>Low</t>
        </is>
      </c>
      <c r="E3" s="2" t="inlineStr">
        <is>
          <t>Microsoft Graph only</t>
        </is>
      </c>
    </row>
    <row r="4" ht="18" customHeight="1" s="101">
      <c r="A4" s="2" t="inlineStr">
        <is>
          <t>Zone 2</t>
        </is>
      </c>
      <c r="B4" s="2" t="inlineStr">
        <is>
          <t>Team Collaboration</t>
        </is>
      </c>
      <c r="C4" s="2" t="inlineStr">
        <is>
          <t>Team/departmental agents shared across groups</t>
        </is>
      </c>
      <c r="D4" s="2" t="inlineStr">
        <is>
          <t>Medium</t>
        </is>
      </c>
      <c r="E4" s="2" t="inlineStr">
        <is>
          <t>Approved internal data sources</t>
        </is>
      </c>
    </row>
    <row r="5" ht="18" customHeight="1" s="101">
      <c r="A5" s="2" t="inlineStr">
        <is>
          <t>Zone 3</t>
        </is>
      </c>
      <c r="B5" s="2" t="inlineStr">
        <is>
          <t>Enterprise Managed</t>
        </is>
      </c>
      <c r="C5" s="2" t="inlineStr">
        <is>
          <t>Organization-wide agents supporting critical processes</t>
        </is>
      </c>
      <c r="D5" s="2" t="inlineStr">
        <is>
          <t>High</t>
        </is>
      </c>
      <c r="E5" s="2" t="inlineStr">
        <is>
          <t>Full with strict controls</t>
        </is>
      </c>
    </row>
    <row r="6" ht="18" customHeight="1" s="101">
      <c r="A6" s="3" t="n"/>
      <c r="B6" s="3" t="n"/>
      <c r="C6" s="3" t="n"/>
      <c r="D6" s="3" t="n"/>
      <c r="E6" s="3" t="n"/>
    </row>
    <row r="7" ht="18" customHeight="1" s="101">
      <c r="A7" s="62" t="inlineStr">
        <is>
          <t>ZONE PROGRESSION MODEL</t>
        </is>
      </c>
      <c r="B7" s="127" t="n"/>
      <c r="C7" s="127" t="n"/>
      <c r="D7" s="127" t="n"/>
      <c r="E7" s="127" t="n"/>
    </row>
    <row r="8" ht="18" customHeight="1" s="101">
      <c r="A8" s="3" t="inlineStr">
        <is>
          <t>Develop in Zone 1</t>
        </is>
      </c>
      <c r="B8" s="3" t="inlineStr">
        <is>
          <t>personal development, limited testing</t>
        </is>
      </c>
      <c r="C8" s="3" t="n"/>
      <c r="D8" s="3" t="n"/>
      <c r="E8" s="3" t="n"/>
    </row>
    <row r="9" ht="18" customHeight="1" s="101">
      <c r="A9" s="3" t="inlineStr">
        <is>
          <t>Move to Zone 2</t>
        </is>
      </c>
      <c r="B9" s="3" t="inlineStr">
        <is>
          <t>team validation, broader testing, departmental use</t>
        </is>
      </c>
      <c r="C9" s="3" t="n"/>
      <c r="D9" s="3" t="n"/>
      <c r="E9" s="3" t="n"/>
    </row>
    <row r="10" ht="18" customHeight="1" s="101">
      <c r="A10" s="3" t="inlineStr">
        <is>
          <t>Deploy to Zone 3</t>
        </is>
      </c>
      <c r="B10" s="3" t="inlineStr">
        <is>
          <t>production, customer-facing, full compliance</t>
        </is>
      </c>
      <c r="C10" s="3" t="n"/>
      <c r="D10" s="3" t="n"/>
      <c r="E10" s="3" t="n"/>
    </row>
    <row r="11" ht="18" customHeight="1" s="101">
      <c r="A11" s="3" t="n"/>
      <c r="B11" s="3" t="n"/>
      <c r="C11" s="3" t="n"/>
      <c r="D11" s="3" t="n"/>
      <c r="E11" s="3" t="n"/>
    </row>
    <row r="12" ht="18" customHeight="1" s="101">
      <c r="A12" s="62" t="inlineStr">
        <is>
          <t>FINANCIAL SERVICES APPLICATION</t>
        </is>
      </c>
      <c r="B12" s="127" t="n"/>
      <c r="C12" s="127" t="n"/>
      <c r="D12" s="127" t="n"/>
      <c r="E12" s="127" t="n"/>
    </row>
    <row r="13" ht="18" customHeight="1" s="101">
      <c r="A13" s="3" t="inlineStr">
        <is>
          <t>Zone 1 environments</t>
        </is>
      </c>
      <c r="B13" s="3" t="inlineStr">
        <is>
          <t>provide sandboxes for innovation without regulatory exposure</t>
        </is>
      </c>
      <c r="C13" s="3" t="n"/>
      <c r="D13" s="3" t="n"/>
      <c r="E13" s="3" t="n"/>
    </row>
    <row r="14" ht="18" customHeight="1" s="101">
      <c r="A14" s="3" t="inlineStr">
        <is>
          <t>Zone 2 environments</t>
        </is>
      </c>
      <c r="B14" s="3" t="inlineStr">
        <is>
          <t>support departmental use cases with appropriate governance controls</t>
        </is>
      </c>
      <c r="C14" s="3" t="n"/>
      <c r="D14" s="3" t="n"/>
      <c r="E14" s="3" t="n"/>
    </row>
    <row r="15" ht="18" customHeight="1" s="101">
      <c r="A15" s="3" t="inlineStr">
        <is>
          <t>Zone 3 environments</t>
        </is>
      </c>
      <c r="B15" s="3" t="inlineStr">
        <is>
          <t>implement strictest governance for customer-facing or transaction-processing agents</t>
        </is>
      </c>
      <c r="C15" s="3" t="n"/>
      <c r="D15" s="3" t="n"/>
      <c r="E15" s="3" t="n"/>
    </row>
    <row r="16" ht="15" customHeight="1" s="101"/>
    <row r="17" ht="15" customHeight="1" s="101">
      <c r="A17" s="109" t="inlineStr">
        <is>
          <t>REGULATORY CONTEXT BY ZONE</t>
        </is>
      </c>
    </row>
    <row r="18" ht="15" customHeight="1" s="101"/>
    <row r="19" ht="15" customHeight="1" s="101">
      <c r="A19" s="53" t="inlineStr">
        <is>
          <t>ZONE 1: Personal Productivity</t>
        </is>
      </c>
    </row>
    <row r="20" ht="15" customHeight="1" s="101">
      <c r="A20" t="inlineStr">
        <is>
          <t>Technical Level: Low risk - personal development, isolated</t>
        </is>
      </c>
    </row>
    <row r="21" ht="15" customHeight="1" s="101">
      <c r="A21" t="inlineStr">
        <is>
          <t>Regulatory Scrutiny: MINIMAL</t>
        </is>
      </c>
    </row>
    <row r="22" ht="15" customHeight="1" s="101">
      <c r="A22" t="inlineStr">
        <is>
          <t>Retention Requirements: 180 days (log rotation acceptable)</t>
        </is>
      </c>
    </row>
    <row r="23" ht="15" customHeight="1" s="101">
      <c r="A23" t="inlineStr">
        <is>
          <t>Typical Auditors: Internal IT (if any)</t>
        </is>
      </c>
    </row>
    <row r="24" ht="15" customHeight="1" s="101">
      <c r="A24" t="inlineStr">
        <is>
          <t>Business Implication: Zone 1 development is NOT subject to FINRA, SEC, or GLBA</t>
        </is>
      </c>
    </row>
    <row r="25" ht="15" customHeight="1" s="101">
      <c r="A25" t="inlineStr">
        <is>
          <t>examination. This is the "sandbox" for innovation.</t>
        </is>
      </c>
    </row>
    <row r="26" ht="15" customHeight="1" s="101"/>
    <row r="27" ht="15" customHeight="1" s="101">
      <c r="A27" s="54" t="inlineStr">
        <is>
          <t>ZONE 2: Team Collaboration</t>
        </is>
      </c>
    </row>
    <row r="28" ht="15" customHeight="1" s="101">
      <c r="A28" t="inlineStr">
        <is>
          <t>Technical Level: Medium risk - team agents, internal data access</t>
        </is>
      </c>
    </row>
    <row r="29" ht="15" customHeight="1" s="101">
      <c r="A29" t="inlineStr">
        <is>
          <t>Regulatory Scrutiny: MODERATE</t>
        </is>
      </c>
    </row>
    <row r="30" ht="15" customHeight="1" s="101">
      <c r="A30" t="inlineStr">
        <is>
          <t>Retention Requirements: 1 year (per FINRA Rule 4511)</t>
        </is>
      </c>
    </row>
    <row r="31" ht="15" customHeight="1" s="101">
      <c r="A31" t="inlineStr">
        <is>
          <t>Typical Auditors: FINRA (if securities firm), OCC (if national bank), Fed (if BHC)</t>
        </is>
      </c>
    </row>
    <row r="32" ht="15" customHeight="1" s="101">
      <c r="A32" t="inlineStr">
        <is>
          <t>Business Implication: Examiners may request agent list, review connectors,</t>
        </is>
      </c>
    </row>
    <row r="33" ht="15" customHeight="1" s="101">
      <c r="A33" t="inlineStr">
        <is>
          <t>verify approvals, confirm data access is appropriate. Maintain evidence of approvals.</t>
        </is>
      </c>
    </row>
    <row r="34" ht="15" customHeight="1" s="101"/>
    <row r="35" ht="15" customHeight="1" s="101">
      <c r="A35" s="55" t="inlineStr">
        <is>
          <t>ZONE 3: Enterprise Managed</t>
        </is>
      </c>
    </row>
    <row r="36" ht="15" customHeight="1" s="101">
      <c r="A36" t="inlineStr">
        <is>
          <t>Technical Level: High risk - organization-wide, customer/transaction data</t>
        </is>
      </c>
    </row>
    <row r="37" ht="15" customHeight="1" s="101">
      <c r="A37" t="inlineStr">
        <is>
          <t>Regulatory Scrutiny: HIGH / CRITICAL</t>
        </is>
      </c>
    </row>
    <row r="38" ht="15" customHeight="1" s="101">
      <c r="A38" t="inlineStr">
        <is>
          <t>Retention Requirements: 10 years (per SEC 17a-3/4, FINRA 4511)</t>
        </is>
      </c>
    </row>
    <row r="39" ht="15" customHeight="1" s="101">
      <c r="A39" t="inlineStr">
        <is>
          <t>Typical Auditors: FINRA (comprehensive), SEC (if registered), OCC (if national bank),</t>
        </is>
      </c>
    </row>
    <row r="40" ht="15" customHeight="1" s="101">
      <c r="A40" t="inlineStr">
        <is>
          <t>Federal Reserve (if BHC), CFPB (if consumer lending)</t>
        </is>
      </c>
    </row>
    <row r="41" ht="15" customHeight="1" s="101">
      <c r="A41" t="inlineStr">
        <is>
          <t>Business Implication: Comprehensive regulatory oversight. Examiners will review</t>
        </is>
      </c>
    </row>
    <row r="42" ht="15" customHeight="1" s="101">
      <c r="A42" t="inlineStr">
        <is>
          <t>model risk management, bias testing, data security, compliance with fair lending</t>
        </is>
      </c>
    </row>
    <row r="43" ht="15" customHeight="1" s="101">
      <c r="A43" t="inlineStr">
        <is>
          <t>rules, incident response. Maintain full audit file with: governance policy, model</t>
        </is>
      </c>
    </row>
    <row r="44" ht="15" customHeight="1" s="101">
      <c r="A44" t="inlineStr">
        <is>
          <t>risk assessment, bias testing results, security assessment, compliance testing,</t>
        </is>
      </c>
    </row>
    <row r="45" ht="15" customHeight="1" s="101">
      <c r="A45" t="inlineStr">
        <is>
          <t>management approval evidence, incident logs, 10-year immutable audit trail.</t>
        </is>
      </c>
    </row>
    <row r="46" ht="15" customHeight="1" s="101"/>
    <row r="47" ht="15" customHeight="1" s="101">
      <c r="A47" s="109" t="inlineStr">
        <is>
          <t>REGULATION-ZONE MAPPING</t>
        </is>
      </c>
    </row>
    <row r="48" ht="15" customHeight="1" s="101"/>
    <row r="49" ht="15" customHeight="1" s="101">
      <c r="A49" s="110" t="inlineStr">
        <is>
          <t>FINRA Examiners:</t>
        </is>
      </c>
    </row>
    <row r="50" ht="15" customHeight="1" s="101">
      <c r="A50" t="inlineStr">
        <is>
          <t xml:space="preserve">  Zone 2: Supervisory controls per Rule 3110 (documented approval process)</t>
        </is>
      </c>
    </row>
    <row r="51" ht="15" customHeight="1" s="101">
      <c r="A51" t="inlineStr">
        <is>
          <t xml:space="preserve">  Zone 3: Model risk management practices (aligned with Notice 25-07 topics, per Rule 3110 supervision) + ongoing monitoring</t>
        </is>
      </c>
    </row>
    <row r="52" ht="15" customHeight="1" s="101"/>
    <row r="53" ht="15" customHeight="1" s="101">
      <c r="A53" s="110" t="inlineStr">
        <is>
          <t>SEC Examiners:</t>
        </is>
      </c>
    </row>
    <row r="54" ht="15" customHeight="1" s="101">
      <c r="A54" t="inlineStr">
        <is>
          <t xml:space="preserve">  Zone 3: Recordkeeping per Rule 17a-3/4 + AI disclosure compliance</t>
        </is>
      </c>
    </row>
    <row r="55" ht="15" customHeight="1" s="101"/>
    <row r="56" ht="15" customHeight="1" s="101">
      <c r="A56" s="110" t="inlineStr">
        <is>
          <t>OCC Examiners (National Banks/Federal Savings Associations):</t>
        </is>
      </c>
    </row>
    <row r="57" ht="15" customHeight="1" s="101">
      <c r="A57" t="inlineStr">
        <is>
          <t xml:space="preserve">  Zone 3: OCC Bulletin 2011-12 (SR 11-7) Model Risk Management + third-party vendor risk</t>
        </is>
      </c>
    </row>
    <row r="58" ht="15" customHeight="1" s="101">
      <c r="A58" t="inlineStr">
        <is>
          <t xml:space="preserve">  AI agents using ML/statistical models require documented model validation per SR 11-7</t>
        </is>
      </c>
    </row>
    <row r="59" ht="15" customHeight="1" s="101">
      <c r="A59" s="110" t="inlineStr">
        <is>
          <t>Federal Reserve (Bank Holding Companies):</t>
        </is>
      </c>
    </row>
    <row r="60" ht="15" customHeight="1" s="101">
      <c r="A60" t="inlineStr">
        <is>
          <t xml:space="preserve">  Zone 3: Fair lending compliance (ECOA) + SR 11-7 Model Risk Management</t>
        </is>
      </c>
    </row>
    <row r="61" ht="15" customHeight="1" s="101">
      <c r="A61" t="inlineStr">
        <is>
          <t xml:space="preserve">  SR 11-7 applies to AI/ML models used in credit decisions, risk management, or customer-facing applications</t>
        </is>
      </c>
    </row>
    <row r="62" ht="15" customHeight="1" s="101">
      <c r="A62" s="110" t="inlineStr">
        <is>
          <t>CFPB:</t>
        </is>
      </c>
    </row>
    <row r="63" ht="15" customHeight="1" s="101">
      <c r="A63" t="inlineStr">
        <is>
          <t xml:space="preserve">  Zone 3: Algorithmic bias + consumer protection + responsible AI</t>
        </is>
      </c>
    </row>
  </sheetData>
  <mergeCells count="5">
    <mergeCell ref="A12:E12"/>
    <mergeCell ref="A7:E7"/>
    <mergeCell ref="A47:E47"/>
    <mergeCell ref="A1:E1"/>
    <mergeCell ref="A17:E17"/>
  </mergeCells>
  <conditionalFormatting sqref="D2:D5">
    <cfRule type="expression" priority="1" dxfId="227">
      <formula>EXACT($D2,"High")</formula>
    </cfRule>
    <cfRule type="expression" priority="2" dxfId="226">
      <formula>EXACT($D2,"Medium")</formula>
    </cfRule>
    <cfRule type="expression" priority="3" dxfId="225">
      <formula>EXACT($D2,"Low")</formula>
    </cfRule>
  </conditionalFormatting>
  <conditionalFormatting sqref="D3:D5">
    <cfRule type="containsText" priority="4" operator="containsText" dxfId="40" text="Low">
      <formula>NOT(ISERROR(SEARCH("Low",D3)))</formula>
    </cfRule>
    <cfRule type="containsText" priority="5" operator="containsText" dxfId="38" text="Medium">
      <formula>NOT(ISERROR(SEARCH("Medium",D3)))</formula>
    </cfRule>
    <cfRule type="containsText" priority="6" operator="containsText" dxfId="39" text="High">
      <formula>NOT(ISERROR(SEARCH("High",D3)))</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ustomHeight="1"/>
  <cols>
    <col width="36.42578125" bestFit="1" customWidth="1" style="101" min="1" max="1"/>
    <col width="54" bestFit="1" customWidth="1" style="64" min="2" max="2"/>
    <col width="83.140625" bestFit="1" customWidth="1" style="64" min="3" max="3"/>
    <col width="36.28515625" bestFit="1" customWidth="1" style="64" min="4" max="4"/>
    <col width="36.28515625" customWidth="1" style="64" min="5" max="5"/>
  </cols>
  <sheetData>
    <row r="1" ht="16.5" customHeight="1" s="101">
      <c r="A1" s="5" t="inlineStr">
        <is>
          <t>Role</t>
        </is>
      </c>
      <c r="B1" s="5" t="inlineStr">
        <is>
          <t>Scope</t>
        </is>
      </c>
      <c r="C1" s="5" t="inlineStr">
        <is>
          <t>FSI Use Cases</t>
        </is>
      </c>
      <c r="D1" s="5" t="inlineStr">
        <is>
          <t>Compliance Relevance</t>
        </is>
      </c>
      <c r="E1" s="5" t="inlineStr">
        <is>
          <t>Reporting Line</t>
        </is>
      </c>
    </row>
    <row r="2" ht="16.5" customHeight="1" s="101">
      <c r="A2" s="2" t="inlineStr">
        <is>
          <t>Power Platform Administrator</t>
        </is>
      </c>
      <c r="B2" s="2" t="inlineStr">
        <is>
          <t>Power Platform environments, policies, settings</t>
        </is>
      </c>
      <c r="C2" s="2" t="inlineStr">
        <is>
          <t>Environment management, DLP enforcement, tenant settings, routing</t>
        </is>
      </c>
      <c r="D2" s="2" t="inlineStr">
        <is>
          <t>Core platform governance</t>
        </is>
      </c>
      <c r="E2" s="2" t="inlineStr">
        <is>
          <t>CIO / IT Director</t>
        </is>
      </c>
    </row>
    <row r="3" ht="16.5" customHeight="1" s="101">
      <c r="A3" s="2" t="inlineStr">
        <is>
          <t>AI Administrator</t>
        </is>
      </c>
      <c r="B3" s="2" t="inlineStr">
        <is>
          <t>Microsoft 365 AI services, Copilot governance</t>
        </is>
      </c>
      <c r="C3" s="2" t="inlineStr">
        <is>
          <t>Agent oversight, DSPM for AI, AI-specific policies, risk management</t>
        </is>
      </c>
      <c r="D3" s="2" t="inlineStr">
        <is>
          <t>AI-specific oversight and supervision</t>
        </is>
      </c>
      <c r="E3" s="2" t="inlineStr">
        <is>
          <t>CISO / CTO</t>
        </is>
      </c>
    </row>
    <row r="4" ht="33" customHeight="1" s="101">
      <c r="A4" s="2" t="inlineStr">
        <is>
          <t>Compliance Administrator</t>
        </is>
      </c>
      <c r="B4" s="2" t="inlineStr">
        <is>
          <t>Microsoft Purview, DLP, eDiscovery, audit</t>
        </is>
      </c>
      <c r="C4" s="2" t="inlineStr">
        <is>
          <t>Data loss prevention, audit logging, retention policies, communication compliance</t>
        </is>
      </c>
      <c r="D4" s="2" t="inlineStr">
        <is>
          <t>Regulatory compliance and enforcement</t>
        </is>
      </c>
      <c r="E4" s="2" t="inlineStr">
        <is>
          <t>CCO / General Counsel</t>
        </is>
      </c>
    </row>
    <row r="5" ht="16.5" customHeight="1" s="101">
      <c r="A5" s="2" t="inlineStr">
        <is>
          <t>Security Administrator</t>
        </is>
      </c>
      <c r="B5" s="2" t="inlineStr">
        <is>
          <t>Microsoft 365 security, Conditional Access</t>
        </is>
      </c>
      <c r="C5" s="2" t="inlineStr">
        <is>
          <t>Threat management, incident response, security policies, runtime protection</t>
        </is>
      </c>
      <c r="D5" s="2" t="inlineStr">
        <is>
          <t>Security incident response</t>
        </is>
      </c>
      <c r="E5" s="2" t="inlineStr">
        <is>
          <t>CISO</t>
        </is>
      </c>
    </row>
    <row r="6" ht="16.5" customHeight="1" s="101">
      <c r="A6" s="2" t="inlineStr">
        <is>
          <t>SharePoint Administrator</t>
        </is>
      </c>
      <c r="B6" s="2" t="inlineStr">
        <is>
          <t>SharePoint Online, site permissions</t>
        </is>
      </c>
      <c r="C6" s="2" t="inlineStr">
        <is>
          <t>SharePoint agent permissions, Advanced Management, site governance</t>
        </is>
      </c>
      <c r="D6" s="2" t="inlineStr">
        <is>
          <t>SharePoint agent governance</t>
        </is>
      </c>
      <c r="E6" s="2" t="inlineStr">
        <is>
          <t>CIO / IT Director</t>
        </is>
      </c>
    </row>
    <row r="7" ht="33" customHeight="1" s="101">
      <c r="A7" s="2" t="inlineStr">
        <is>
          <t>Dynamics 365 Administrator</t>
        </is>
      </c>
      <c r="B7" s="2" t="inlineStr">
        <is>
          <t>Power Platform &amp; Dynamics 365</t>
        </is>
      </c>
      <c r="C7" s="2" t="inlineStr">
        <is>
          <t>Alternative to Power Platform Admin, Dataverse governance, advanced platform management</t>
        </is>
      </c>
      <c r="D7" s="2" t="inlineStr">
        <is>
          <t>Advanced platform administration</t>
        </is>
      </c>
      <c r="E7" s="2" t="inlineStr">
        <is>
          <t>CIO / CTO</t>
        </is>
      </c>
    </row>
    <row r="8" ht="16.5" customHeight="1" s="101">
      <c r="A8" s="2" t="inlineStr">
        <is>
          <t>Global Reader</t>
        </is>
      </c>
      <c r="B8" s="2" t="inlineStr">
        <is>
          <t>Read-only Microsoft 365 services</t>
        </is>
      </c>
      <c r="C8" s="2" t="inlineStr">
        <is>
          <t>Audit and compliance verification without modification rights</t>
        </is>
      </c>
      <c r="D8" s="2" t="inlineStr">
        <is>
          <t>Compliance auditing and verification</t>
        </is>
      </c>
      <c r="E8" s="2" t="inlineStr">
        <is>
          <t>CCO / Internal Audit</t>
        </is>
      </c>
    </row>
    <row r="9" ht="33" customHeight="1" s="101">
      <c r="A9" s="2" t="inlineStr">
        <is>
          <t>External Threat Detection Partner Admin</t>
        </is>
      </c>
      <c r="B9" s="2" t="inlineStr">
        <is>
          <t>Runtime threat detection integration</t>
        </is>
      </c>
      <c r="C9" s="2" t="inlineStr">
        <is>
          <t>Configure external security providers for real-time protection</t>
        </is>
      </c>
      <c r="D9" s="2" t="inlineStr">
        <is>
          <t>Runtime security operations</t>
        </is>
      </c>
      <c r="E9" s="2" t="inlineStr">
        <is>
          <t>CISO</t>
        </is>
      </c>
    </row>
    <row r="10" ht="99" customHeight="1" s="101">
      <c r="A10" s="2" t="inlineStr">
        <is>
          <t>Chief Information Security Officer (CISO)</t>
        </is>
      </c>
      <c r="B10" s="2" t="inlineStr">
        <is>
          <t>Enterprise-wide cybersecurity and information security strategy</t>
        </is>
      </c>
      <c r="C10" s="2" t="inlineStr">
        <is>
          <t>All Zone 3 agents, compliance monitoring, transaction processing</t>
        </is>
      </c>
      <c r="D10" s="2" t="inlineStr">
        <is>
          <t>GLBA Safeguards Rule § 314(a)(4) - "qualified individual" responsible for program; SOX 404 - Information security program oversight; FINRA Rule 4511 - Technology governance accountability</t>
        </is>
      </c>
      <c r="E10" s="2" t="inlineStr">
        <is>
          <t>CEO / Board</t>
        </is>
      </c>
    </row>
    <row r="11" ht="82.5" customHeight="1" s="101">
      <c r="A11" s="2" t="inlineStr">
        <is>
          <t>Chief Compliance Officer / Compliance Officer</t>
        </is>
      </c>
      <c r="B11" s="2" t="inlineStr">
        <is>
          <t>Agent governance strategy, regulatory compliance, policy approval</t>
        </is>
      </c>
      <c r="C11" s="2" t="inlineStr">
        <is>
          <t>All agents (especially Zones 2 &amp; 3)</t>
        </is>
      </c>
      <c r="D11" s="2" t="inlineStr">
        <is>
          <t>FINRA Rule 3110/4511 - Supervision and compliance procedures; GLBA - Information security program oversight; SOX 302 - Management responsibility for compliance</t>
        </is>
      </c>
      <c r="E11" s="2" t="inlineStr">
        <is>
          <t>CEO / Board / General Counsel</t>
        </is>
      </c>
    </row>
    <row r="12" ht="82.5" customHeight="1" s="101">
      <c r="A12" s="2" t="inlineStr">
        <is>
          <t>General Counsel / Legal</t>
        </is>
      </c>
      <c r="B12" s="2" t="inlineStr">
        <is>
          <t>Legal risk assessment, contracts, regulatory disclosures</t>
        </is>
      </c>
      <c r="C12" s="2" t="inlineStr">
        <is>
          <t>All Zone 3 agents, customer-facing agents</t>
        </is>
      </c>
      <c r="D12" s="2" t="inlineStr">
        <is>
          <t>SEC AI disclosure guidance - required for public companies; Contract law - AI vendor agreements and licensing; Fair lending law - ECOA compliance for credit agents</t>
        </is>
      </c>
      <c r="E12" s="2" t="inlineStr">
        <is>
          <t>CEO / Board</t>
        </is>
      </c>
    </row>
    <row r="13" ht="99" customHeight="1" s="101">
      <c r="A13" s="2" t="inlineStr">
        <is>
          <t>Internal Audit / Risk Management</t>
        </is>
      </c>
      <c r="B13" s="2" t="inlineStr">
        <is>
          <t>Independent assessment of governance controls</t>
        </is>
      </c>
      <c r="C13" s="2" t="inlineStr">
        <is>
          <t>All agents (especially Zones 2 &amp; 3)</t>
        </is>
      </c>
      <c r="D13" s="2" t="inlineStr">
        <is>
          <t>SOX 302/404 - Internal control assessment and audit; GLBA Safeguards Rule - Independent testing of security program; FINRA Rule 4511 - Supervision and testing procedures</t>
        </is>
      </c>
      <c r="E13" s="2" t="inlineStr">
        <is>
          <t>CFO / Audit Committee</t>
        </is>
      </c>
    </row>
    <row r="14" ht="18" customHeight="1" s="101">
      <c r="A14" s="3" t="n"/>
      <c r="B14" s="3" t="n"/>
      <c r="C14" s="3" t="n"/>
      <c r="D14" s="3" t="n"/>
      <c r="E14" s="3" t="n"/>
    </row>
    <row r="15" ht="16.5" customHeight="1" s="101">
      <c r="A15" s="7" t="inlineStr">
        <is>
          <t>FSI-SPECIFIC GUIDANCE</t>
        </is>
      </c>
      <c r="B15" s="7" t="n"/>
      <c r="C15" s="7" t="n"/>
      <c r="D15" s="7" t="n"/>
      <c r="E15" s="5" t="n"/>
    </row>
    <row r="16" ht="16.5" customHeight="1" s="101">
      <c r="A16" s="5" t="inlineStr">
        <is>
          <t>Principle of Least Privilege</t>
        </is>
      </c>
      <c r="B16" s="5" t="inlineStr">
        <is>
          <t>Assign only minimum permissions needed for role</t>
        </is>
      </c>
      <c r="C16" s="5" t="inlineStr">
        <is>
          <t>Most users need only Environment Maker role</t>
        </is>
      </c>
      <c r="D16" s="5" t="inlineStr">
        <is>
          <t>Notes</t>
        </is>
      </c>
      <c r="E16" s="5" t="n"/>
    </row>
    <row r="17" ht="16.5" customHeight="1" s="101">
      <c r="A17" s="2" t="inlineStr">
        <is>
          <t>Role Assignment Documentation</t>
        </is>
      </c>
      <c r="B17" s="2" t="inlineStr">
        <is>
          <t>Maintain governance registry with all role assignments</t>
        </is>
      </c>
      <c r="C17" s="2" t="inlineStr">
        <is>
          <t>Required for audit purposes and regulatory review</t>
        </is>
      </c>
      <c r="D17" s="2" t="n"/>
      <c r="E17" s="2" t="n"/>
    </row>
    <row r="18" ht="16.5" customHeight="1" s="101">
      <c r="A18" s="2" t="inlineStr">
        <is>
          <t>Quarterly Review</t>
        </is>
      </c>
      <c r="B18" s="2" t="inlineStr">
        <is>
          <t>Review and update role assignments regularly</t>
        </is>
      </c>
      <c r="C18" s="2" t="inlineStr">
        <is>
          <t>Ensure current accuracy and compliance</t>
        </is>
      </c>
      <c r="D18" s="2" t="n"/>
      <c r="E18" s="2" t="n"/>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P31"/>
  <sheetViews>
    <sheetView workbookViewId="0">
      <pane ySplit="1" topLeftCell="F9" activePane="bottomLeft" state="frozen"/>
      <selection pane="bottomLeft" activeCell="I3" sqref="I3"/>
    </sheetView>
  </sheetViews>
  <sheetFormatPr baseColWidth="8" defaultRowHeight="15" customHeight="1"/>
  <cols>
    <col width="28.28515625" bestFit="1" customWidth="1" style="101" min="1" max="1"/>
    <col width="44.5703125" bestFit="1" customWidth="1" style="64" min="2" max="2"/>
    <col width="54.28515625" bestFit="1" customWidth="1" style="64" min="3" max="3"/>
    <col width="49.140625" bestFit="1" customWidth="1" style="64" min="4" max="4"/>
    <col width="34.28515625" customWidth="1" style="64" min="5" max="7"/>
    <col width="19.85546875" customWidth="1" style="101" min="8" max="8"/>
    <col width="16" bestFit="1" customWidth="1" style="101" min="9" max="9"/>
    <col width="15.28515625" bestFit="1" customWidth="1" style="101" min="10" max="10"/>
    <col width="10" bestFit="1" customWidth="1" style="101" min="11" max="11"/>
    <col width="15.5703125" bestFit="1" customWidth="1" style="101" min="12" max="12"/>
    <col width="11.42578125" bestFit="1" customWidth="1" style="101" min="13" max="13"/>
    <col width="16" bestFit="1" customWidth="1" style="101" min="14" max="14"/>
    <col width="18.28515625" bestFit="1" customWidth="1" style="101" min="15" max="15"/>
    <col width="76.140625" customWidth="1" style="101" min="16" max="16"/>
  </cols>
  <sheetData>
    <row r="1" ht="18" customHeight="1" s="101">
      <c r="A1" s="140" t="inlineStr">
        <is>
          <t>PILLAR 1: SECURITY CONTROLS</t>
        </is>
      </c>
    </row>
    <row r="2" ht="49.5" customHeight="1" s="101">
      <c r="A2" s="5" t="inlineStr">
        <is>
          <t>Control ID</t>
        </is>
      </c>
      <c r="B2" s="5" t="inlineStr">
        <is>
          <t>Control Name</t>
        </is>
      </c>
      <c r="C2" s="5" t="inlineStr">
        <is>
          <t>Primary Regulatory Reference</t>
        </is>
      </c>
      <c r="D2" s="5" t="inlineStr">
        <is>
          <t>Notes</t>
        </is>
      </c>
      <c r="E2" s="69" t="inlineStr">
        <is>
          <t>Setup Time</t>
        </is>
      </c>
      <c r="F2" s="69" t="inlineStr">
        <is>
          <t>Time Breakdown</t>
        </is>
      </c>
      <c r="G2" s="69" t="inlineStr">
        <is>
          <t>Recurring Review</t>
        </is>
      </c>
      <c r="H2" s="5" t="inlineStr">
        <is>
          <t>Current State</t>
        </is>
      </c>
      <c r="I2" s="5" t="inlineStr">
        <is>
          <t>Evidence Location</t>
        </is>
      </c>
      <c r="J2" s="5" t="inlineStr">
        <is>
          <t>Target Date</t>
        </is>
      </c>
      <c r="K2" s="5" t="inlineStr">
        <is>
          <t>Owner</t>
        </is>
      </c>
      <c r="L2" s="5" t="inlineStr">
        <is>
          <t>Gap Priority</t>
        </is>
      </c>
      <c r="M2" s="5" t="inlineStr">
        <is>
          <t>Baseline capability</t>
        </is>
      </c>
      <c r="N2" s="5" t="inlineStr">
        <is>
          <t>Recommended capability</t>
        </is>
      </c>
      <c r="O2" s="5" t="inlineStr">
        <is>
          <t>Regulated/High-risk capability</t>
        </is>
      </c>
      <c r="P2" s="69" t="inlineStr">
        <is>
          <t>Verification Steps</t>
        </is>
      </c>
    </row>
    <row r="3" ht="180" customHeight="1" s="101">
      <c r="A3" s="2" t="inlineStr">
        <is>
          <t>1.1</t>
        </is>
      </c>
      <c r="B3" s="2" t="inlineStr">
        <is>
          <t>Restrict Agent Publishing by Authorization</t>
        </is>
      </c>
      <c r="C3" s="2" t="inlineStr">
        <is>
          <t>FINRA 4511, SEC Rule 17a-4 (recordkeeping), GLBA 501(b)</t>
        </is>
      </c>
      <c r="D3" s="2" t="n"/>
      <c r="E3" s="2" t="inlineStr">
        <is>
          <t>15-30 min</t>
        </is>
      </c>
      <c r="F3" s="2" t="inlineStr">
        <is>
          <t>Configure security groups, set publishing restrictions, document approval process.</t>
        </is>
      </c>
      <c r="G3" s="2" t="inlineStr">
        <is>
          <t>10 min/month</t>
        </is>
      </c>
      <c r="H3" s="2" t="n"/>
      <c r="I3" s="2" t="n"/>
      <c r="J3" s="17" t="n"/>
      <c r="K3" s="2" t="n"/>
      <c r="L3" s="2">
        <f>IF(TblSecurityControlsList[[#This Row],[Current State]]="","NOT ASSESSED",IF(OR(TblSecurityControlsList[[#This Row],[Current State]]="Level 0 - None",TblSecurityControlsList[[#This Row],[Current State]]="Level 1 - Initial"),"HIGH",IF(TblSecurityControlsList[[#This Row],[Current State]]="Level 2 - Developing","MEDIUM","LOW")))</f>
        <v/>
      </c>
      <c r="M3" s="2" t="inlineStr">
        <is>
          <t>Baseline: Limit publishing to known makers via security groups; require documented approval for shared agents.</t>
        </is>
      </c>
      <c r="N3" s="2" t="inlineStr">
        <is>
          <t>Recommended: Central publishing workflow + agent registry; enforce environment DLP and connector restrictions.</t>
        </is>
      </c>
      <c r="O3" s="2" t="inlineStr">
        <is>
          <t>Regulated/High-risk: Formal AI governance committee approval + legal review; change control and evidence retention.</t>
        </is>
      </c>
      <c r="P3" s="97" t="inlineStr">
        <is>
          <t>VERIFICATION STEPS:
1. Go to Power Platform Admin Center → Environments → [test environment]
2. Attempt to publish an agent as a non-authorized maker (should fail with permission error)
3. Publish same agent as authorized maker (should succeed)
4. Check audit log: Go to Compliance center → Audit logs → Search for "Publish agent"
5. Verify log shows authorized user and timestamp
EXPECTED RESULT: Only authorized makers can publish; unauthorized attempts logged</t>
        </is>
      </c>
    </row>
    <row r="4" ht="180" customHeight="1" s="101">
      <c r="A4" s="2" t="inlineStr">
        <is>
          <t>1.2</t>
        </is>
      </c>
      <c r="B4" s="2" t="inlineStr">
        <is>
          <t>Agent Registry and Integrated Apps Management</t>
        </is>
      </c>
      <c r="C4" s="2" t="inlineStr">
        <is>
          <t>FINRA 4511, SEC Rule 17a-3/4 (books &amp; records)</t>
        </is>
      </c>
      <c r="D4" s="2" t="n"/>
      <c r="E4" s="2" t="inlineStr">
        <is>
          <t>30-60 min</t>
        </is>
      </c>
      <c r="F4" s="2" t="inlineStr">
        <is>
          <t>Export agent inventory, create registry spreadsheet/database, document ownership and data sources.</t>
        </is>
      </c>
      <c r="G4" s="2" t="inlineStr">
        <is>
          <t>30 min/week</t>
        </is>
      </c>
      <c r="H4" s="2" t="n"/>
      <c r="I4" s="2" t="n"/>
      <c r="J4" s="17" t="n"/>
      <c r="K4" s="2" t="n"/>
      <c r="L4" s="2">
        <f>IF(TblSecurityControlsList[[#This Row],[Current State]]="","NOT ASSESSED",IF(OR(TblSecurityControlsList[[#This Row],[Current State]]="Level 0 - None",TblSecurityControlsList[[#This Row],[Current State]]="Level 1 - Initial"),"HIGH",IF(TblSecurityControlsList[[#This Row],[Current State]]="Level 2 - Developing","MEDIUM","LOW")))</f>
        <v/>
      </c>
      <c r="M4" s="2" t="inlineStr">
        <is>
          <t>Baseline: Maintain a centralized inventory (export + spreadsheet) of agents and integrated apps, updated at least monthly.</t>
        </is>
      </c>
      <c r="N4" s="2" t="inlineStr">
        <is>
          <t>Recommended: Automated registry with ownership, data sources, connectors, and approval status; weekly review for shared agents.</t>
        </is>
      </c>
      <c r="O4" s="2" t="inlineStr">
        <is>
          <t>Regulated/High-risk: Real-time inventory with automated drift detection; daily monitoring for production and privileged integrations.</t>
        </is>
      </c>
      <c r="P4" s="97" t="inlineStr">
        <is>
          <t>VERIFICATION STEPS:
1. Go to Microsoft 365 Admin Center → Settings → Integrated Apps
2. Confirm list includes all agents deployed in your organization
3. For one agent, click detail view and confirm metadata: Owner, Zone, Data Sources
4. Export agent inventory (CSV or Excel)
5. Verify export is current (within 24 hours for Zone 3, weekly for Zone 2)
EXPECTED RESULT: Complete, current agent inventory with metadata; export contains all required fields</t>
        </is>
      </c>
    </row>
    <row r="5" ht="180" customHeight="1" s="101">
      <c r="A5" s="2" t="inlineStr">
        <is>
          <t>1.3</t>
        </is>
      </c>
      <c r="B5" s="2" t="inlineStr">
        <is>
          <t>SharePoint Content Governance and Permissions</t>
        </is>
      </c>
      <c r="C5" s="2" t="inlineStr">
        <is>
          <t>GLBA 501(b), 504(b), 505(b), SEC Reg S-P (privacy)</t>
        </is>
      </c>
      <c r="D5" s="2" t="n"/>
      <c r="E5" s="70" t="inlineStr">
        <is>
          <t>20-30 min (initial), 10 min (recurring)</t>
        </is>
      </c>
      <c r="F5" s="70" t="inlineStr">
        <is>
          <t>First-time setup includes permission audit and label application.</t>
        </is>
      </c>
      <c r="G5" s="70" t="inlineStr">
        <is>
          <t>10 min/quarter</t>
        </is>
      </c>
      <c r="H5" s="2" t="n"/>
      <c r="I5" s="2" t="n"/>
      <c r="J5" s="17" t="n"/>
      <c r="K5" s="2" t="n"/>
      <c r="L5" s="2">
        <f>IF(TblSecurityControlsList[[#This Row],[Current State]]="","NOT ASSESSED",IF(OR(TblSecurityControlsList[[#This Row],[Current State]]="Level 0 - None",TblSecurityControlsList[[#This Row],[Current State]]="Level 1 - Initial"),"HIGH",IF(TblSecurityControlsList[[#This Row],[Current State]]="Level 2 - Developing","MEDIUM","LOW")))</f>
        <v/>
      </c>
      <c r="M5" s="2" t="inlineStr">
        <is>
          <t>Baseline: Use least-privilege SharePoint permissions; restrict external sharing; label sensitive libraries.</t>
        </is>
      </c>
      <c r="N5" s="2" t="inlineStr">
        <is>
          <t>Recommended: Standardized site templates + sensitivity labels; periodic access reviews; restrict agent access to approved sites only.</t>
        </is>
      </c>
      <c r="O5" s="2" t="inlineStr">
        <is>
          <t>Regulated/High-risk: Admin-controlled permissions with legal/compliance review; immutable retention where required; continuous access monitoring.</t>
        </is>
      </c>
      <c r="P5" s="97" t="inlineStr">
        <is>
          <t>VERIFICATION STEPS:
1. Go to target SharePoint site → Settings → Site permissions
2. Verify agent has least-privilege access (not "Owner" or "Edit" unless required)
3. Check that external sharing is restricted (Settings → External sharing → Only existing guests or Only people in your organization)
4. Review a sensitive document library → Library settings → Sensitivity label
5. Confirm label is applied (e.g., "Confidential" with appropriate sharing restrictions)
EXPECTED RESULT: Agent permissions are minimal; sensitive content is labeled; external sharing is restricted</t>
        </is>
      </c>
    </row>
    <row r="6" ht="180" customHeight="1" s="101">
      <c r="A6" s="2" t="inlineStr">
        <is>
          <t>1.4</t>
        </is>
      </c>
      <c r="B6" s="2" t="inlineStr">
        <is>
          <t>Advanced Connector Policies (ACP)</t>
        </is>
      </c>
      <c r="C6" s="2" t="inlineStr">
        <is>
          <t>FINRA 4511(c), GLBA 501(b), SEC Rule 17a-4 (recordkeeping)</t>
        </is>
      </c>
      <c r="D6" s="2" t="n"/>
      <c r="E6" s="70" t="inlineStr">
        <is>
          <t>30-45 min</t>
        </is>
      </c>
      <c r="F6" s="70" t="inlineStr">
        <is>
          <t>Includes policy creation, selection of approved connectors, testing with sample agent, and verification in dashboard.</t>
        </is>
      </c>
      <c r="G6" s="70" t="inlineStr">
        <is>
          <t>15 min/quarter</t>
        </is>
      </c>
      <c r="H6" s="2" t="n"/>
      <c r="I6" s="2" t="n"/>
      <c r="J6" s="17" t="n"/>
      <c r="K6" s="2" t="n"/>
      <c r="L6" s="2">
        <f>IF(TblSecurityControlsList[[#This Row],[Current State]]="","NOT ASSESSED",IF(OR(TblSecurityControlsList[[#This Row],[Current State]]="Level 0 - None",TblSecurityControlsList[[#This Row],[Current State]]="Level 1 - Initial"),"HIGH",IF(TblSecurityControlsList[[#This Row],[Current State]]="Level 2 - Developing","MEDIUM","LOW")))</f>
        <v/>
      </c>
      <c r="M6" s="2" t="inlineStr">
        <is>
          <t>Baseline: Block high-risk connectors/actions via DLP policies; approve only business-justified connectors.</t>
        </is>
      </c>
      <c r="N6" s="2" t="inlineStr">
        <is>
          <t>Recommended: Use Advanced Connector Policies to whitelist safe actions per connector; quarterly policy review.</t>
        </is>
      </c>
      <c r="O6" s="2" t="inlineStr">
        <is>
          <t>Regulated/High-risk: Action-level allowlisting + separation of duties; approvals for new connectors; continuous monitoring and alerts.</t>
        </is>
      </c>
      <c r="P6" s="97" t="inlineStr">
        <is>
          <t>VERIFICATION STEPS:
1. Go to Power Platform Admin Center → Manage → Environment groups → [your environment group] → Rules
2. Verify rule status is "Active"
3. Create a test agent using an APPROVED connector (e.g., SharePoint) - should succeed
4. Attempt to create a test agent using a BLOCKED connector (e.g., Slack) - should fail with policy violation
5. Check Power Platform Admin Center → Environments → Governance Insights → Policy violations (should show test attempt)
EXPECTED RESULT: Approved connectors work; blocked connectors fail; policy violations are logged</t>
        </is>
      </c>
    </row>
    <row r="7" ht="180" customHeight="1" s="101">
      <c r="A7" s="2" t="inlineStr">
        <is>
          <t>1.5</t>
        </is>
      </c>
      <c r="B7" s="2" t="inlineStr">
        <is>
          <t>Data Loss Prevention (DLP) and Sensitivity Labels</t>
        </is>
      </c>
      <c r="C7" s="2" t="inlineStr">
        <is>
          <t>FINRA 4511, SEC Reg S-P (privacy), GLBA 501(b), SOX 404</t>
        </is>
      </c>
      <c r="D7" s="2" t="n"/>
      <c r="E7" s="70" t="inlineStr">
        <is>
          <t>1-2 hours</t>
        </is>
      </c>
      <c r="F7" s="70" t="inlineStr">
        <is>
          <t>Create DLP policy (20 min) + Test DLP rule (10 min) + Apply sensitivity labels (30 min) + Configure sharing restrictions (15 min) + Document in Asset Registry (5 min)</t>
        </is>
      </c>
      <c r="G7" s="70" t="inlineStr">
        <is>
          <t>30 min/month</t>
        </is>
      </c>
      <c r="H7" s="2" t="n"/>
      <c r="I7" s="2" t="n"/>
      <c r="J7" s="17" t="n"/>
      <c r="K7" s="2" t="n"/>
      <c r="L7" s="2">
        <f>IF(TblSecurityControlsList[[#This Row],[Current State]]="","NOT ASSESSED",IF(OR(TblSecurityControlsList[[#This Row],[Current State]]="Level 0 - None",TblSecurityControlsList[[#This Row],[Current State]]="Level 1 - Initial"),"HIGH",IF(TblSecurityControlsList[[#This Row],[Current State]]="Level 2 - Developing","MEDIUM","LOW")))</f>
        <v/>
      </c>
      <c r="M7" s="2" t="inlineStr">
        <is>
          <t>Baseline: Implement DLP policies for common sensitive data types + sensitivity labels for key repositories.</t>
        </is>
      </c>
      <c r="N7" s="2" t="inlineStr">
        <is>
          <t>Recommended: Strict DLP for shared/departmental agents; enforce label-based protection and sharing restrictions.</t>
        </is>
      </c>
      <c r="O7" s="2" t="inlineStr">
        <is>
          <t>Regulated/High-risk: Strictest DLP + endpoint/session controls; mandatory labels; continuous alerting and incident workflow.</t>
        </is>
      </c>
      <c r="P7" s="97" t="inlineStr">
        <is>
          <t>VERIFICATION STEPS:
1. Go to Microsoft Purview → Data loss prevention → Policies
2. Verify policy is "Enabled" and includes agent-used locations (SharePoint, OneDrive, Teams)
3. Create a test file containing sample PII (e.g., "SSN: 123-45-6789") and try to share it
4. Verify DLP blocks the action with message: "This item matches a data loss prevention policy"
5. Check audit log: Purview → Audit logs → Search for DLP violations in past 24 hours
EXPECTED RESULT: DLP policy blocks unauthorized PII sharing; violations are logged; labels are applied to sensitive content</t>
        </is>
      </c>
    </row>
    <row r="8" ht="180" customHeight="1" s="101">
      <c r="A8" s="2" t="inlineStr">
        <is>
          <t>1.6</t>
        </is>
      </c>
      <c r="B8" s="2" t="inlineStr">
        <is>
          <t>Microsoft Purview: DSPM for AI</t>
        </is>
      </c>
      <c r="C8" s="2" t="inlineStr">
        <is>
          <t>FINRA Regulatory Notice 25-07, SEC Division of Examinations AI priorities, GLBA 501(a), SOX 302</t>
        </is>
      </c>
      <c r="D8" s="2" t="n"/>
      <c r="E8" s="70" t="inlineStr">
        <is>
          <t>1-2 hours</t>
        </is>
      </c>
      <c r="F8" s="70" t="inlineStr">
        <is>
          <t>Enable DSPM for AI (15 min) + Review recommended policies (20 min) + Customize policies per organization (30 min) + Set up alert notifications (20 min) + Configure weekly report schedule (10 min)</t>
        </is>
      </c>
      <c r="G8" s="70" t="inlineStr">
        <is>
          <t>20 min/week</t>
        </is>
      </c>
      <c r="H8" s="2" t="n"/>
      <c r="I8" s="2" t="n"/>
      <c r="J8" s="17" t="n"/>
      <c r="K8" s="2" t="n"/>
      <c r="L8" s="2">
        <f>IF(TblSecurityControlsList[[#This Row],[Current State]]="","NOT ASSESSED",IF(OR(TblSecurityControlsList[[#This Row],[Current State]]="Level 0 - None",TblSecurityControlsList[[#This Row],[Current State]]="Level 1 - Initial"),"HIGH",IF(TblSecurityControlsList[[#This Row],[Current State]]="Level 2 - Developing","MEDIUM","LOW")))</f>
        <v/>
      </c>
      <c r="M8" s="2" t="inlineStr">
        <is>
          <t>Baseline: Establish AI data handling policy and periodic reviews of sensitive data exposure risks (manual review if tooling is limited).</t>
        </is>
      </c>
      <c r="N8" s="2" t="inlineStr">
        <is>
          <t>Recommended: Enable Microsoft Purview DSPM for AI (if licensed) for monitoring + policy insights; integrate with DLP/labels.</t>
        </is>
      </c>
      <c r="O8" s="2" t="inlineStr">
        <is>
          <t>Regulated/High-risk: Real-time monitoring + automated escalation; integrate with SOC; evidence retention and audit-ready reporting.</t>
        </is>
      </c>
      <c r="P8" s="97" t="inlineStr">
        <is>
          <t>VERIFICATION STEPS:
1. Go to Microsoft Purview → DSPM for AI → Insights
2. Verify DSPM is "Enabled" for your tenant
3. Review "Recent activities" dashboard - should show AI interactions with sensitive data
4. Check "Recommended policies" - should include defaults for sensitive data types
5. Confirm alerts are configured: Settings → Alert rules (should have HIGH priority rule for unauthorized data access)
EXPECTED RESULT: DSPM is monitoring AI interactions; dashboard shows recent activities; alerts are configured</t>
        </is>
      </c>
    </row>
    <row r="9" ht="180" customHeight="1" s="101">
      <c r="A9" s="2" t="inlineStr">
        <is>
          <t>1.7</t>
        </is>
      </c>
      <c r="B9" s="2" t="inlineStr">
        <is>
          <t>Comprehensive Audit Logging and Compliance</t>
        </is>
      </c>
      <c r="C9" s="2" t="inlineStr">
        <is>
          <t>FINRA Rule 4511, SEC Rule 17a-3/4, SOX 302/404, GLBA 501(b)</t>
        </is>
      </c>
      <c r="D9" s="2" t="inlineStr">
        <is>
          <t>Retention requirements vary by regulation and licensing. Set targets based on your Purview Audit tier (Standard vs Premium) and any retention add-ons; use SIEM/export and retention policies where longer retention is required.</t>
        </is>
      </c>
      <c r="E9" s="2" t="inlineStr">
        <is>
          <t>1-2 hours (Standard) or 8-10 hours (Azure WORM)</t>
        </is>
      </c>
      <c r="F9" s="2" t="inlineStr">
        <is>
          <t>Configure Purview Audit retention policies. If no Premium: set up PowerShell export + Azure immutable storage.</t>
        </is>
      </c>
      <c r="G9" s="2" t="inlineStr">
        <is>
          <t>15 min/week</t>
        </is>
      </c>
      <c r="H9" s="2" t="n"/>
      <c r="I9" s="2" t="n"/>
      <c r="J9" s="17" t="n"/>
      <c r="K9" s="2" t="n"/>
      <c r="L9" s="2">
        <f>IF(TblSecurityControlsList[[#This Row],[Current State]]="","NOT ASSESSED",IF(OR(TblSecurityControlsList[[#This Row],[Current State]]="Level 0 - None",TblSecurityControlsList[[#This Row],[Current State]]="Level 1 - Initial"),"HIGH",IF(TblSecurityControlsList[[#This Row],[Current State]]="Level 2 - Developing","MEDIUM","LOW")))</f>
        <v/>
      </c>
      <c r="M9" s="2" t="inlineStr">
        <is>
          <t>Baseline: Purview Audit Standard logging (where available) + defined review cadence; export key events externally if retention is insufficient.</t>
        </is>
      </c>
      <c r="N9" s="43" t="inlineStr">
        <is>
          <t>Purview Audit Premium (if licensed) with longer retention (1+ years) + audit retention policies; SIEM integration for Zone 2/3 agents. Export logs weekly for compliance verification.</t>
        </is>
      </c>
      <c r="O9" s="43" t="inlineStr">
        <is>
          <t>Zone 3 MANDATORY: Purview Premium + Long-term Retention Add-on (10+ years) with immutable WORM configuration, OR Purview Standard + weekly export to Azure immutable storage. Policy-driven retention per regulation: FINRA 6yr, SEC 17a-3/4 6yr, GLBA 5-7yr. Continuous anomaly detection and SOC integration required. See Control 1.7 detailed guidance below.
AUDIT RETENTION BY REGULATION (December 2025):
• FINRA Rule 4511: 6 years + 1 year accessible (agent logs, approvals)
• SEC Rule 17a-3/4: 6 years + 3 years accessible (trading/transaction records)
• SEC Rule 15c2-1: 6 years + 3 years accessible (communications)
• GLBA Safeguards: 5-7 years minimum (varies by institution)
• SOX 404: 7 years minimum
IMPLEMENTATION OPTIONS:
Option A: Purview Premium + Long-term Add-on ✓ RECOMMENDED
• Cost: Premium licensing
• Setup: 1-2 hours
• Status: COMPLIANT (automatic)
Option B: Purview Standard + Azure WORM Export ⚠️ ACCEPTABLE
• Cost: Azure storage (~$100-300/month for 10yr logs)
• Setup: 8-10 hours + PowerShell
• Status: COMPLIANT (with documentation)
Option C: No Premium Available ❌ NON-COMPLIANT FOR ZONE 3
• Status: BUDGET FOR PREMIUM IMMEDIATELY
• Timeline: Must be in place before Zone 3 deployment
• Risk: Regulatory exam finding</t>
        </is>
      </c>
      <c r="P9" s="97" t="inlineStr">
        <is>
          <t>VERIFICATION STEPS:
1. Go to Microsoft Purview → Audit → Search
2. Set date range to past 24 hours and search for keyword "agent" or "Copilot"
3. Verify results include: Agent creation, modification, deletion, sharing events
4. For Zone 3: Confirm retention policy is set to 10 years
   - Path: Purview → Data lifecycle management → Retention policies → [Your Zone 3 policy]
5. Verify immutable storage is configured:
   - Option A (Premium): Check long-term retention add-on is enabled
   - Option B (WORM export): Check weekly export job in Azure Storage Account → Immutable storage
EXPECTED RESULT: Audit logs are current; retention is configured per regulation; immutable archive is in place</t>
        </is>
      </c>
    </row>
    <row r="10" ht="180" customHeight="1" s="101">
      <c r="A10" s="2" t="inlineStr">
        <is>
          <t>1.8</t>
        </is>
      </c>
      <c r="B10" s="2" t="inlineStr">
        <is>
          <t>Runtime Protection and External Threat Detection</t>
        </is>
      </c>
      <c r="C10" s="2" t="inlineStr">
        <is>
          <t>FINRA Regulatory Notice 25-07, SEC Division of Examinations AI priorities, GLBA 501(b)</t>
        </is>
      </c>
      <c r="D10" s="2" t="n"/>
      <c r="E10" s="2" t="inlineStr">
        <is>
          <t>45-60 min</t>
        </is>
      </c>
      <c r="F10" s="2" t="inlineStr">
        <is>
          <t>Enable runtime protection, configure threat detection integration, define incident response playbooks.</t>
        </is>
      </c>
      <c r="G10" s="2" t="inlineStr">
        <is>
          <t>10 min/day</t>
        </is>
      </c>
      <c r="H10" s="2" t="n"/>
      <c r="I10" s="2" t="n"/>
      <c r="J10" s="17" t="n"/>
      <c r="K10" s="2" t="n"/>
      <c r="L10" s="2">
        <f>IF(TblSecurityControlsList[[#This Row],[Current State]]="","NOT ASSESSED",IF(OR(TblSecurityControlsList[[#This Row],[Current State]]="Level 0 - None",TblSecurityControlsList[[#This Row],[Current State]]="Level 1 - Initial"),"HIGH",IF(TblSecurityControlsList[[#This Row],[Current State]]="Level 2 - Developing","MEDIUM","LOW")))</f>
        <v/>
      </c>
      <c r="M10" s="2" t="inlineStr">
        <is>
          <t>Baseline: Implement secure prompt practices and manual review; restrict risky actions and external data access.</t>
        </is>
      </c>
      <c r="N10" s="2" t="inlineStr">
        <is>
          <t>Recommended: Enable runtime protections (where available) and monitor threats; integrate alerts with security operations.</t>
        </is>
      </c>
      <c r="O10" s="2" t="inlineStr">
        <is>
          <t>Regulated/High-risk: Runtime protection required with external threat detection integration; defined incident response playbooks and SLAs.</t>
        </is>
      </c>
      <c r="P10" s="97" t="inlineStr">
        <is>
          <t>VERIFICATION STEPS:
1. Go to Power Platform Admin Center → Environments → [environment] → Settings → Runtime Protection
2. Verify runtime protection is "Enabled"
3. Check Governance Insights → Runtime threats dashboard
4. Confirm external threat detection provider is integrated (if applicable):
   - Path: Power Platform Admin Center → Tenant settings → Threat detection
5. Review recent security alerts (should show attempted malicious actions blocked)
EXPECTED RESULT: Runtime protection is active; threats are being detected and blocked; dashboard shows protection status</t>
        </is>
      </c>
    </row>
    <row r="11" ht="18" customHeight="1" s="101">
      <c r="A11" s="128" t="inlineStr">
        <is>
          <t>1.9</t>
        </is>
      </c>
      <c r="B11" s="128" t="inlineStr">
        <is>
          <t>Data Retention and Deletion Policies</t>
        </is>
      </c>
      <c r="C11" s="128" t="inlineStr">
        <is>
          <t>FINRA 4511, SEC 17a-3/4, GLBA 501(b), SOX 404</t>
        </is>
      </c>
      <c r="D11" s="128" t="inlineStr">
        <is>
          <t>Retention periods vary by regulation. FINRA/SEC: 6yr, SOX: 7yr, GLBA: 5-7yr.</t>
        </is>
      </c>
      <c r="E11" s="128" t="inlineStr">
        <is>
          <t>1-2 hours</t>
        </is>
      </c>
      <c r="F11" s="128" t="inlineStr">
        <is>
          <t>Create retention policy (30 min) + Configure locations (20 min) + Set disposition review (30 min) + Test retention (20 min)</t>
        </is>
      </c>
      <c r="G11" s="128" t="inlineStr">
        <is>
          <t>30 min/quarter</t>
        </is>
      </c>
      <c r="L11" s="128" t="inlineStr">
        <is>
          <t>NOT ASSESSED</t>
        </is>
      </c>
      <c r="M11" s="128" t="inlineStr">
        <is>
          <t>Baseline: Define retention schedule aligned to regulations; implement basic Purview retention policies for Copilot interactions.</t>
        </is>
      </c>
      <c r="N11" s="128" t="inlineStr">
        <is>
          <t>Recommended: Automated retention with disposition review workflow; separate policies per agent type/zone; legal hold integration.</t>
        </is>
      </c>
      <c r="O11" s="128" t="inlineStr">
        <is>
          <t>Regulated/High-risk: Immutable retention with legal hold; disposition approval by compliance; audit trail for all retention actions; 7-10 year retention for customer-facing agents.</t>
        </is>
      </c>
      <c r="P11" s="128" t="inlineStr">
        <is>
          <t>VERIFICATION STEPS:
1. Go to Microsoft Purview → Data lifecycle management → Retention policies
2. Verify policy exists for Microsoft Copilot Experiences location
3. Check retention period matches regulatory requirement (e.g., 7 years for SOX)
4. Verify disposition review is configured for regulated content
5. Test: Create test interaction, verify it appears in retention scope
EXPECTED RESULT: Retention policy active; correct duration; disposition workflow configured</t>
        </is>
      </c>
    </row>
    <row r="12" ht="18" customHeight="1" s="101">
      <c r="A12" s="128" t="inlineStr">
        <is>
          <t>1.10</t>
        </is>
      </c>
      <c r="B12" s="128" t="inlineStr">
        <is>
          <t>Communication Compliance for Copilot Studio</t>
        </is>
      </c>
      <c r="C12" s="128" t="inlineStr">
        <is>
          <t>FINRA 3110/4511, SEC 17a-4, GLBA 501(b)</t>
        </is>
      </c>
      <c r="D12" s="128" t="inlineStr">
        <is>
          <t>Detects regulatory violations, inappropriate content, and sensitive data exposure.</t>
        </is>
      </c>
      <c r="E12" s="128" t="inlineStr">
        <is>
          <t>1-2 hours</t>
        </is>
      </c>
      <c r="L12" s="128" t="inlineStr">
        <is>
          <t>NOT ASSESSED</t>
        </is>
      </c>
      <c r="M12" s="128" t="inlineStr">
        <is>
          <t>Baseline: Enable with pre-built classifiers for offensive language and sensitive data.</t>
        </is>
      </c>
      <c r="N12" s="128" t="inlineStr">
        <is>
          <t>Recommended: Custom classifiers for financial violations; 4-hour SLA.</t>
        </is>
      </c>
      <c r="O12" s="128" t="inlineStr">
        <is>
          <t>Regulated: Real-time monitoring; SOC integration; immediate quarantine.</t>
        </is>
      </c>
      <c r="P12" s="128" t="inlineStr">
        <is>
          <t>VERIFICATION STEPS:
1. Go to Microsoft Purview → Communication Compliance → Policies
2. Verify policy covers Microsoft Copilot Studio location
3. Check classifiers include: Offensive language, Threat, Sensitive info types
4. Verify reviewers are assigned and have appropriate roles
5. Test: Generate test alert, verify it appears in pending queue
EXPECTED RESULT: Policy active; classifiers configured; review queue accessible</t>
        </is>
      </c>
    </row>
    <row r="13" ht="18" customHeight="1" s="101">
      <c r="A13" s="128" t="inlineStr">
        <is>
          <t>1.11</t>
        </is>
      </c>
      <c r="B13" s="128" t="inlineStr">
        <is>
          <t>Authentication Controls (Require Entra ID)</t>
        </is>
      </c>
      <c r="C13" s="128" t="inlineStr">
        <is>
          <t>FINRA 4511, GLBA 501(b), SEC 17a-4</t>
        </is>
      </c>
      <c r="D13" s="128" t="inlineStr">
        <is>
          <t>CRITICAL: Block "Chat without Microsoft Entra ID authentication" connector to prevent unauthenticated agent access.</t>
        </is>
      </c>
      <c r="E13" s="128" t="inlineStr">
        <is>
          <t>30-45 min</t>
        </is>
      </c>
      <c r="F13" s="128" t="inlineStr">
        <is>
          <t>Create/update DLP policy (15 min) + Block authentication connector (10 min) + Test enforcement (15 min)</t>
        </is>
      </c>
      <c r="G13" s="128" t="inlineStr">
        <is>
          <t>10 min/month</t>
        </is>
      </c>
      <c r="L13" s="128" t="inlineStr">
        <is>
          <t>NOT ASSESSED</t>
        </is>
      </c>
      <c r="M13" s="128" t="inlineStr">
        <is>
          <t>Baseline: Require Microsoft authentication for all agents; block manual/no authentication options via DLP policy.</t>
        </is>
      </c>
      <c r="N13" s="128" t="inlineStr">
        <is>
          <t>Recommended: Enforce SSO for Teams/M365 channels; require MFA for agent access; block external authentication providers.</t>
        </is>
      </c>
      <c r="O13" s="128" t="inlineStr">
        <is>
          <t>Regulated/High-risk: Conditional Access policies for agent access; device compliance requirements; session controls; continuous access evaluation.</t>
        </is>
      </c>
      <c r="P13" s="128" t="inlineStr">
        <is>
          <t>VERIFICATION STEPS:
1. Go to Power Platform Admin Center → Policies → Data policies
2. Verify "Chat without Microsoft Entra ID authentication in Copilot Studio" is BLOCKED
3. Test: Attempt to configure agent with "No authentication" - should fail
4. Verify existing agents with manual auth are flagged for remediation
5. Check audit log for authentication policy violations
EXPECTED RESULT: Unauthenticated access blocked; all agents require Entra ID auth</t>
        </is>
      </c>
    </row>
    <row r="14" ht="99" customHeight="1" s="101">
      <c r="A14" s="128" t="inlineStr">
        <is>
          <t>1.12</t>
        </is>
      </c>
      <c r="B14" s="128" t="inlineStr">
        <is>
          <t>Insider Risk Management for AI</t>
        </is>
      </c>
      <c r="C14" s="128" t="inlineStr">
        <is>
          <t>FINRA Reg Notice 25-07, SEC AI priorities, GLBA 501(b), SOX 302</t>
        </is>
      </c>
      <c r="D14" s="128" t="inlineStr">
        <is>
          <t>Detects risky AI usage patterns including prompt injection, sensitive data access, and exfiltration attempts.</t>
        </is>
      </c>
      <c r="E14" s="128" t="inlineStr">
        <is>
          <t>2-3 hours</t>
        </is>
      </c>
      <c r="F14" s="128" t="inlineStr">
        <is>
          <t>Enable IRM (30 min) + Configure AI policy template (45 min) + Set risk levels (30 min) + Configure Adaptive Protection (45 min)</t>
        </is>
      </c>
      <c r="G14" s="128" t="inlineStr">
        <is>
          <t>2 hours/week</t>
        </is>
      </c>
      <c r="L14" s="128" t="inlineStr">
        <is>
          <t>NOT ASSESSED</t>
        </is>
      </c>
      <c r="M14" s="128" t="inlineStr">
        <is>
          <t>Baseline: Enable Insider Risk Management with Risky AI usage policy template; monitor for unusual AI interaction patterns.</t>
        </is>
      </c>
      <c r="N14" s="128" t="inlineStr">
        <is>
          <t>Recommended: Integrate with Adaptive Protection for dynamic DLP; configure risk levels; weekly risk review cadence.</t>
        </is>
      </c>
      <c r="O14" s="128" t="inlineStr">
        <is>
          <t>Regulated/High-risk: Real-time risk scoring with automated response; integration with Conditional Access; block elevated-risk users from sensitive agents; SOC integration.</t>
        </is>
      </c>
      <c r="P14" s="128" t="inlineStr">
        <is>
          <t>VERIFICATION STEPS:
1. Go to Microsoft Purview → Insider Risk Management → Policies
2. Verify "Risky AI usage" policy is active
3. Check Analytics → AI interactions for recent activity
4. Verify Adaptive Protection is configured with insider risk condition
5. Test: Review sample alerts in Alert queue
EXPECTED RESULT: IRM detecting AI risks; Adaptive Protection integrated; alerts generating</t>
        </is>
      </c>
    </row>
    <row r="15" ht="99" customHeight="1" s="101">
      <c r="A15" s="128" t="inlineStr">
        <is>
          <t>1.13</t>
        </is>
      </c>
      <c r="B15" s="128" t="inlineStr">
        <is>
          <t>eDiscovery for AI Interactions</t>
        </is>
      </c>
      <c r="C15" s="128" t="inlineStr">
        <is>
          <t>FINRA 4511, SEC 17a-3/4, GLBA 501(b)</t>
        </is>
      </c>
      <c r="D15" s="128" t="inlineStr">
        <is>
          <t>Enables legal hold, search, and export of Copilot Studio agent interactions for litigation and regulatory requests.</t>
        </is>
      </c>
      <c r="E15" s="128" t="inlineStr">
        <is>
          <t>1-2 hours</t>
        </is>
      </c>
      <c r="F15" s="128" t="inlineStr">
        <is>
          <t>Configure eDiscovery roles (20 min) + Create case template (30 min) + Test search queries (30 min) + Document procedures (30 min)</t>
        </is>
      </c>
      <c r="G15" s="128" t="inlineStr">
        <is>
          <t>As needed for cases</t>
        </is>
      </c>
      <c r="L15" s="128" t="inlineStr">
        <is>
          <t>NOT ASSESSED</t>
        </is>
      </c>
      <c r="M15" s="128" t="inlineStr">
        <is>
          <t>Baseline: Ensure eDiscovery can search Copilot interactions; document search procedures for legal team.</t>
        </is>
      </c>
      <c r="N15" s="128" t="inlineStr">
        <is>
          <t>Recommended: Pre-configured case templates for AI investigations; trained eDiscovery team; documented chain of custody.</t>
        </is>
      </c>
      <c r="O15" s="128" t="inlineStr">
        <is>
          <t>Regulated/High-risk: Automated legal hold triggers; integration with matter management; certified export procedures; defensible collection workflows.</t>
        </is>
      </c>
      <c r="P15" s="128" t="inlineStr">
        <is>
          <t>VERIFICATION STEPS:
1. Go to Microsoft Purview → eDiscovery → Cases
2. Create test case and search with ItemClass:IPM.SkypeTeams.Message.Copilot.*
3. Verify Copilot Studio interactions appear in results
4. Test export functionality - verify format is suitable for review
5. Confirm legal hold can be applied to Copilot data
EXPECTED RESULT: Copilot interactions searchable; export works; legal hold applies</t>
        </is>
      </c>
    </row>
    <row r="16" ht="99" customHeight="1" s="101">
      <c r="A16" s="128" t="inlineStr">
        <is>
          <t>1.14</t>
        </is>
      </c>
      <c r="B16" s="128" t="inlineStr">
        <is>
          <t>Channel Publishing Controls</t>
        </is>
      </c>
      <c r="C16" s="128" t="inlineStr">
        <is>
          <t>FINRA 4511, GLBA 501(b), SEC Reg S-P</t>
        </is>
      </c>
      <c r="D16" s="128" t="inlineStr">
        <is>
          <t>Controls which channels agents can be published to (Teams, SharePoint, Web, WhatsApp, etc.).</t>
        </is>
      </c>
      <c r="E16" s="128" t="inlineStr">
        <is>
          <t>30-45 min</t>
        </is>
      </c>
      <c r="F16" s="128" t="inlineStr">
        <is>
          <t>Review channel options (10 min) + Configure DLP for channels (20 min) + Block external channels (10 min) + Test publishing (15 min)</t>
        </is>
      </c>
      <c r="G16" s="128" t="inlineStr">
        <is>
          <t>15 min/month</t>
        </is>
      </c>
      <c r="L16" s="128" t="inlineStr">
        <is>
          <t>NOT ASSESSED</t>
        </is>
      </c>
      <c r="M16" s="128" t="inlineStr">
        <is>
          <t>Baseline: Restrict publishing to internal channels only (Teams, M365); block external channels (WhatsApp, Facebook, public web).</t>
        </is>
      </c>
      <c r="N16" s="128" t="inlineStr">
        <is>
          <t>Recommended: Zone-based channel restrictions; Zone 1 = M365 only; Zone 2 = M365 + Teams; Zone 3 = all internal with approval.</t>
        </is>
      </c>
      <c r="O16" s="128" t="inlineStr">
        <is>
          <t>Regulated/High-risk: Formal approval workflow for any channel publishing; no external channels without compliance review; audit all channel changes.</t>
        </is>
      </c>
      <c r="P16" s="128" t="inlineStr">
        <is>
          <t>VERIFICATION STEPS:
1. Go to Power Platform Admin Center → Policies → Data policies
2. Verify external channel connectors are blocked (WhatsApp, Facebook, etc.)
3. Test: Attempt to publish agent to blocked channel - should fail
4. Verify approved channels work (Teams, SharePoint)
5. Check audit logs for channel publishing attempts
EXPECTED RESULT: External channels blocked; internal channels work; violations logged</t>
        </is>
      </c>
    </row>
    <row r="17" ht="99" customHeight="1" s="101">
      <c r="A17" s="128" t="inlineStr">
        <is>
          <t>1.15</t>
        </is>
      </c>
      <c r="B17" s="128" t="inlineStr">
        <is>
          <t>Agent Sharing Controls</t>
        </is>
      </c>
      <c r="C17" s="128" t="inlineStr">
        <is>
          <t>FINRA 4511, GLBA 501(b), SOX 302</t>
        </is>
      </c>
      <c r="D17" s="128" t="inlineStr">
        <is>
          <t>Controls who can share agents and with whom (Editor vs Viewer permissions, security group restrictions).</t>
        </is>
      </c>
      <c r="E17" s="128" t="inlineStr">
        <is>
          <t>30-45 min</t>
        </is>
      </c>
      <c r="F17" s="128" t="inlineStr">
        <is>
          <t>Configure sharing rules (20 min) + Set zone-based limits (15 min) + Test enforcement (15 min)</t>
        </is>
      </c>
      <c r="G17" s="128" t="inlineStr">
        <is>
          <t>15 min/month</t>
        </is>
      </c>
      <c r="L17" s="128" t="inlineStr">
        <is>
          <t>NOT ASSESSED</t>
        </is>
      </c>
      <c r="M17" s="128" t="inlineStr">
        <is>
          <t>Baseline: Limit sharing to security groups; disable anonymous sharing; require owner approval for broad sharing.</t>
        </is>
      </c>
      <c r="N17" s="128" t="inlineStr">
        <is>
          <t>Recommended: Zone-based sharing limits via Environment Group rules; Zone 1 = creator only; Zone 2 = team security group; Zone 3 = admin-controlled.</t>
        </is>
      </c>
      <c r="O17" s="128" t="inlineStr">
        <is>
          <t>Regulated/High-risk: Sharing requires compliance approval; audit all sharing changes; automatic revocation for terminated users; no editor access in production.</t>
        </is>
      </c>
      <c r="P17" s="128" t="inlineStr">
        <is>
          <t>VERIFICATION STEPS:
1. Go to Power Platform Admin Center → Environment groups → [group] → Rules
2. Verify "Sharing agents with Editor permissions" and "Sharing agents with Viewer permissions" are configured
3. Test: Attempt to share beyond allowed scope - should fail
4. Verify sharing audit events are captured
5. Check that production (Zone 3) has strictest sharing limits
EXPECTED RESULT: Sharing limits enforced per zone; violations blocked; audit trail exists</t>
        </is>
      </c>
    </row>
    <row r="18" ht="99" customHeight="1" s="101">
      <c r="A18" s="128" t="inlineStr">
        <is>
          <t>1.16</t>
        </is>
      </c>
      <c r="B18" s="128" t="inlineStr">
        <is>
          <t>Sensitivity Labels and Information Protection</t>
        </is>
      </c>
      <c r="C18" s="128" t="inlineStr">
        <is>
          <t>FINRA 4511, SEC Reg S-P, GLBA 501(b), SOX 404</t>
        </is>
      </c>
      <c r="D18" s="128" t="inlineStr">
        <is>
          <t>Microsoft Purview Information Protection labels classify and protect content accessed by agents. Labels control encryption, watermarking, and access restrictions.</t>
        </is>
      </c>
      <c r="E18" s="128" t="inlineStr">
        <is>
          <t>2-4 hours</t>
        </is>
      </c>
      <c r="F18" s="128" t="inlineStr">
        <is>
          <t>Create label taxonomy (1 hr) + Configure auto-labeling (1 hr) + Test label inheritance (1 hr) + Document procedures (30 min)</t>
        </is>
      </c>
      <c r="G18" s="128" t="inlineStr">
        <is>
          <t>30 min/month</t>
        </is>
      </c>
      <c r="L18" s="128" t="inlineStr">
        <is>
          <t>NOT ASSESSED</t>
        </is>
      </c>
      <c r="M18" s="128" t="inlineStr">
        <is>
          <t>Baseline: Apply sensitivity labels to SharePoint sites used by agents; configure basic label-based protection for confidential content.</t>
        </is>
      </c>
      <c r="N18" s="128" t="inlineStr">
        <is>
          <t>Recommended: Auto-labeling for sensitive data types; label inheritance in agent responses; DLP integration with labels.</t>
        </is>
      </c>
      <c r="O18" s="128" t="inlineStr">
        <is>
          <t>Regulated/High-risk: Mandatory labeling for all agent knowledge sources; encryption for Confidential/Highly Confidential; audit all label changes; label-based Conditional Access.</t>
        </is>
      </c>
      <c r="P18" s="128" t="inlineStr">
        <is>
          <t>VERIFICATION STEPS:
1. Go to Microsoft Purview → Information Protection → Labels
2. Verify labels exist for classification levels (Public, Internal, Confidential, Highly Confidential)
3. Check auto-labeling policies are configured for sensitive data types
4. Test: Upload document with PII to agent knowledge source - verify label is applied
5. Verify Copilot cites sensitivity labels in responses
EXPECTED RESULT: Labels applied to content; agent responses cite labels; encryption active for protected content</t>
        </is>
      </c>
    </row>
    <row r="19" ht="99" customHeight="1" s="101">
      <c r="A19" s="128" t="inlineStr">
        <is>
          <t>1.17</t>
        </is>
      </c>
      <c r="B19" s="128" t="inlineStr">
        <is>
          <t>Oversharing Assessments and Remediation</t>
        </is>
      </c>
      <c r="C19" s="128" t="inlineStr">
        <is>
          <t>FINRA 4511, SEC Reg S-P, GLBA 501(b)</t>
        </is>
      </c>
      <c r="D19" s="128" t="inlineStr">
        <is>
          <t>DSPM for AI identifies overshared content in agent knowledge sources. Weekly assessments detect sites with excessive permissions.</t>
        </is>
      </c>
      <c r="E19" s="128" t="inlineStr">
        <is>
          <t>1-2 hours</t>
        </is>
      </c>
      <c r="F19" s="128" t="inlineStr">
        <is>
          <t>Configure DSPM assessment (30 min) + Review initial results (45 min) + Create remediation workflow (30 min)</t>
        </is>
      </c>
      <c r="G19" s="128" t="inlineStr">
        <is>
          <t>2 hours/week</t>
        </is>
      </c>
      <c r="L19" s="128" t="inlineStr">
        <is>
          <t>NOT ASSESSED</t>
        </is>
      </c>
      <c r="M19" s="128" t="inlineStr">
        <is>
          <t>Baseline: Weekly oversharing assessment for SharePoint sites used by agents.</t>
        </is>
      </c>
      <c r="N19" s="128" t="inlineStr">
        <is>
          <t>Recommended: Automated weekly reports to site owners; integrate with SAM for remediation.</t>
        </is>
      </c>
      <c r="O19" s="128" t="inlineStr">
        <is>
          <t>Regulated: Daily assessments for Zone 3; automatic access revocation for excessive sharing.</t>
        </is>
      </c>
      <c r="P19" s="128" t="inlineStr">
        <is>
          <t>VERIFICATION STEPS:
1. Go to Microsoft Purview → DSPM for AI → Data assessments
2. Run oversharing assessment for agent knowledge sources
3. Review results: Sites reported, items found, access patterns
4. Verify remediation workflow is configured
5. Check historical trends
EXPECTED RESULT: Assessment runs weekly; overshared sites identified</t>
        </is>
      </c>
    </row>
    <row r="20" ht="82.5" customHeight="1" s="101">
      <c r="A20" s="128" t="inlineStr">
        <is>
          <t>1.18</t>
        </is>
      </c>
      <c r="B20" s="128" t="inlineStr">
        <is>
          <t>Conditional Access for Agent Access</t>
        </is>
      </c>
      <c r="C20" s="128" t="inlineStr">
        <is>
          <t>FINRA 4511, GLBA 501(b), SEC 17a-4, OCC 2011-12</t>
        </is>
      </c>
      <c r="D20" s="128" t="inlineStr">
        <is>
          <t>Microsoft Entra Conditional Access policies control how users access agents based on device, location, risk level, and authentication strength.</t>
        </is>
      </c>
      <c r="E20" s="128" t="inlineStr">
        <is>
          <t>2-3 hours</t>
        </is>
      </c>
      <c r="F20" s="128" t="inlineStr">
        <is>
          <t>Define access requirements (30 min) + Create CA policies (1 hr) + Configure named locations (30 min) + Test enforcement (45 min)</t>
        </is>
      </c>
      <c r="G20" s="128" t="inlineStr">
        <is>
          <t>30 min/month</t>
        </is>
      </c>
      <c r="L20" s="128" t="inlineStr">
        <is>
          <t>NOT ASSESSED</t>
        </is>
      </c>
      <c r="M20" s="128" t="inlineStr">
        <is>
          <t>Baseline: Require MFA for all agent access; block access from untrusted locations.</t>
        </is>
      </c>
      <c r="N20" s="128" t="inlineStr">
        <is>
          <t>Recommended: Device compliance required; session controls for sensitive agents; risk-based Conditional Access.</t>
        </is>
      </c>
      <c r="O20" s="128" t="inlineStr">
        <is>
          <t>Regulated/High-risk: Compliant device required; phishing-resistant MFA; continuous access evaluation; block external network access to Zone 3 agents.</t>
        </is>
      </c>
      <c r="P20" s="128" t="inlineStr">
        <is>
          <t>VERIFICATION STEPS:
1. Go to Microsoft Entra admin center → Conditional Access → Policies
2. Verify policy exists targeting Copilot Studio / Power Platform apps
3. Test: Access agent from non-compliant device - should be blocked
4. Test: Access from compliant device with MFA - should succeed
5. Review sign-in logs for policy enforcement
EXPECTED RESULT: MFA enforced; device compliance checked; non-compliant access blocked</t>
        </is>
      </c>
    </row>
    <row r="21" ht="82.5" customHeight="1" s="101">
      <c r="A21" s="3" t="n"/>
      <c r="B21" s="3" t="n"/>
      <c r="C21" s="3" t="n"/>
      <c r="D21" s="3" t="n"/>
      <c r="E21" s="3" t="n"/>
      <c r="F21" s="3" t="n"/>
      <c r="G21" s="3" t="n"/>
      <c r="H21" s="1" t="n"/>
    </row>
    <row r="22">
      <c r="A22" s="59" t="inlineStr">
        <is>
          <t>SECURITY CONTROL MATRIX BY ZONE</t>
        </is>
      </c>
    </row>
    <row r="23">
      <c r="A23" s="5" t="inlineStr">
        <is>
          <t>Control</t>
        </is>
      </c>
      <c r="B23" s="14" t="inlineStr">
        <is>
          <t>Zone 1</t>
        </is>
      </c>
      <c r="C23" s="15" t="inlineStr">
        <is>
          <t>Zone 2</t>
        </is>
      </c>
      <c r="D23" s="16" t="inlineStr">
        <is>
          <t>Zone 3</t>
        </is>
      </c>
      <c r="E23" s="16" t="n"/>
      <c r="F23" s="16" t="n"/>
      <c r="G23" s="16" t="n"/>
      <c r="H23" s="1" t="n"/>
    </row>
    <row r="24">
      <c r="A24" s="2" t="inlineStr">
        <is>
          <t>Agent Publishing Restriction</t>
        </is>
      </c>
      <c r="B24" s="43" t="inlineStr">
        <is>
          <t>Baseline: Restrict publishing to authorized makers (security group)
Recommended: Approval required before sharing outside personal use
Regulated: Formal approval log + periodic review</t>
        </is>
      </c>
      <c r="C24" s="43" t="inlineStr">
        <is>
          <t>Baseline: Restrict publishing to approved team makers
Recommended: Central publishing workflow + documented approvals
Regulated: Compliance sign-off + evidence retention</t>
        </is>
      </c>
      <c r="D24" s="43" t="inlineStr">
        <is>
          <t>Baseline: Limit publishing to designated publishers
Recommended: AI governance committee approval
Regulated: Governance + legal approval + change control + evidence retention</t>
        </is>
      </c>
      <c r="E24" s="43" t="n"/>
      <c r="F24" s="43" t="n"/>
      <c r="G24" s="43" t="n"/>
      <c r="H24" s="1" t="n"/>
    </row>
    <row r="25">
      <c r="A25" s="2" t="inlineStr">
        <is>
          <t>Agent Registry Review</t>
        </is>
      </c>
      <c r="B25" s="43" t="inlineStr">
        <is>
          <t>Baseline: Monthly inventory update (manual export acceptable)
Recommended: Biweekly review for any shared agents
Regulated: Weekly review for sensitive-data agents</t>
        </is>
      </c>
      <c r="C25" s="43" t="inlineStr">
        <is>
          <t>Baseline: Monthly inventory
Recommended: Weekly inventory + change tracking
Regulated: Weekly with owner attestation and exception log</t>
        </is>
      </c>
      <c r="D25" s="43" t="inlineStr">
        <is>
          <t>Baseline: Weekly inventory
Recommended: Daily automated inventory
Regulated: Near real-time drift detection + daily review for production</t>
        </is>
      </c>
      <c r="E25" s="43" t="n"/>
      <c r="F25" s="43" t="n"/>
      <c r="G25" s="43" t="n"/>
      <c r="H25" s="1" t="n"/>
    </row>
    <row r="26">
      <c r="A26" s="2" t="inlineStr">
        <is>
          <t>SharePoint Permissions</t>
        </is>
      </c>
      <c r="B26" s="43" t="inlineStr">
        <is>
          <t>Baseline: Least-privilege permissions; restrict external sharing
Recommended: Standard templates + sensitivity labels
Regulated: Periodic access reviews for any sensitive content</t>
        </is>
      </c>
      <c r="C26" s="43" t="inlineStr">
        <is>
          <t>Baseline: Department-admin managed permissions
Recommended: Quarterly access reviews; restrict agent access to approved sites
Regulated: Admin approvals for access changes + monitoring</t>
        </is>
      </c>
      <c r="D26" s="43" t="inlineStr">
        <is>
          <t>Baseline: IT/admin controlled permissions
Recommended: Enforced labels + site governance + access reviews
Regulated: Immutable retention where required + continuous access monitoring</t>
        </is>
      </c>
      <c r="E26" s="43" t="n"/>
      <c r="F26" s="43" t="n"/>
      <c r="G26" s="43" t="n"/>
      <c r="H26" s="1" t="n"/>
    </row>
    <row r="27">
      <c r="A27" s="2" t="inlineStr">
        <is>
          <t>Advanced Connector Policies</t>
        </is>
      </c>
      <c r="B27" s="43" t="inlineStr">
        <is>
          <t>Baseline: DLP to block high-risk connectors/actions
Recommended: Allowlist approved connectors for makers
Regulated: Action-level allowlisting for sensitive workflows</t>
        </is>
      </c>
      <c r="C27" s="43" t="inlineStr">
        <is>
          <t>Baseline: Block high-risk actions/connectors
Recommended: Advanced Connector Policies (ACP) with action allowlists
Regulated: Continuous monitoring + approvals for new connectors</t>
        </is>
      </c>
      <c r="D27" s="43" t="inlineStr">
        <is>
          <t>Baseline: Restrictive allowlist only
Recommended: Action-level allowlisting + separation of duties
Regulated: Mandatory approvals + continuous alerting and review</t>
        </is>
      </c>
      <c r="E27" s="43" t="n"/>
      <c r="F27" s="43" t="n"/>
      <c r="G27" s="43" t="n"/>
      <c r="H27" s="1" t="n"/>
    </row>
    <row r="28">
      <c r="A28" s="2" t="inlineStr">
        <is>
          <t>DLP Strictness</t>
        </is>
      </c>
      <c r="B28" s="43" t="inlineStr">
        <is>
          <t>Baseline: Basic DLP for common sensitive data types
Recommended: Standard DLP + labels for shared content
Regulated: Strict DLP if any PII/financial data is involved</t>
        </is>
      </c>
      <c r="C28" s="43" t="inlineStr">
        <is>
          <t>Baseline: Standard DLP
Recommended: Strict DLP for shared/departmental agents
Regulated: Strictest DLP + incident workflow</t>
        </is>
      </c>
      <c r="D28" s="43" t="inlineStr">
        <is>
          <t>Baseline: Strict DLP
Recommended: Strictest DLP + label enforcement
Regulated: Strictest + endpoint/session controls + continuous alerting</t>
        </is>
      </c>
      <c r="E28" s="43" t="n"/>
      <c r="F28" s="43" t="n"/>
      <c r="G28" s="43" t="n"/>
      <c r="H28" s="1" t="n"/>
    </row>
    <row r="29">
      <c r="A29" s="2" t="inlineStr">
        <is>
          <t>DSPM Monitoring</t>
        </is>
      </c>
      <c r="B29" s="43" t="inlineStr">
        <is>
          <t>Baseline: Manual review of sensitive-data exposure risks
Recommended: DSPM for AI (if licensed) for visibility
Regulated: Monitoring required for any sensitive workflows</t>
        </is>
      </c>
      <c r="C29" s="43" t="inlineStr">
        <is>
          <t>Baseline: Periodic reviews of data exposure
Recommended: DSPM for AI (if licensed) + integrate with DLP/labels
Regulated: Automated escalation for high-risk events</t>
        </is>
      </c>
      <c r="D29" s="43" t="inlineStr">
        <is>
          <t>Baseline: Monitoring in place (tooling or compensating controls)
Recommended: Real-time monitoring + dashboards
Regulated: SOC-integrated escalation + audit-ready reporting</t>
        </is>
      </c>
      <c r="E29" s="43" t="n"/>
      <c r="F29" s="43" t="n"/>
      <c r="G29" s="43" t="n"/>
      <c r="H29" s="1" t="n"/>
    </row>
    <row r="30">
      <c r="A30" s="2" t="inlineStr">
        <is>
          <t>Audit Log Retention</t>
        </is>
      </c>
      <c r="B30" s="43" t="inlineStr">
        <is>
          <t>Minimum: 180 days (Purview Audit Standard). If Premium is available, target 1 year. If neither meets your regulatory needs, export key audit events to a SIEM/immutable store for longer retention.</t>
        </is>
      </c>
      <c r="C30" s="43" t="inlineStr">
        <is>
          <t>Minimum: 180 days (Audit Standard). Recommended: 1 year (Audit Premium) or retain externally via SIEM/retention policies based on policy requirements.</t>
        </is>
      </c>
      <c r="D30" s="43" t="inlineStr">
        <is>
          <t>Regulated target (policy-driven): 1+ years via Audit Premium and/or retention policies; for SEC 17a-4 scenarios, use an immutable/WORM-compliant archive approach. If Premium/add-ons aren't available, require SIEM/export + retention controls.</t>
        </is>
      </c>
      <c r="E30" s="43" t="n"/>
      <c r="F30" s="43" t="n"/>
      <c r="G30" s="43" t="n"/>
      <c r="H30" s="1" t="n"/>
    </row>
    <row r="31">
      <c r="A31" s="2" t="inlineStr">
        <is>
          <t>Runtime Protection</t>
        </is>
      </c>
      <c r="B31" s="43" t="inlineStr">
        <is>
          <t>Baseline: Secure prompt practices + manual review
Recommended: Enable available runtime protections
Regulated: Required for sensitive actions/data</t>
        </is>
      </c>
      <c r="C31" s="43" t="inlineStr">
        <is>
          <t>Baseline: Restrict risky actions + monitor incidents
Recommended: Runtime protection enabled with alerting
Regulated: Required + incident response procedure</t>
        </is>
      </c>
      <c r="D31" s="43" t="inlineStr">
        <is>
          <t>Baseline: Runtime protection enabled
Recommended: Integrate with external threat detection
Regulated: Mandatory + playbooks, SLAs, and evidence retention</t>
        </is>
      </c>
      <c r="E31" s="43" t="n"/>
      <c r="F31" s="43" t="n"/>
      <c r="G31" s="43" t="n"/>
      <c r="H31" s="1" t="n"/>
    </row>
  </sheetData>
  <mergeCells count="1">
    <mergeCell ref="A1:H1"/>
  </mergeCells>
  <conditionalFormatting sqref="H3:H10">
    <cfRule type="containsText" priority="1" operator="containsText" dxfId="39" text="Level 0">
      <formula>NOT(ISERROR(SEARCH("Level 0",H3)))</formula>
    </cfRule>
    <cfRule type="containsText" priority="2" operator="containsText" dxfId="126" text="Level 1">
      <formula>NOT(ISERROR(SEARCH("Level 1",H3)))</formula>
    </cfRule>
    <cfRule type="containsText" priority="3" operator="containsText" dxfId="43" text="Level 2">
      <formula>NOT(ISERROR(SEARCH("Level 2",H3)))</formula>
    </cfRule>
    <cfRule type="containsText" priority="4" operator="containsText" dxfId="46" text="Level 3">
      <formula>NOT(ISERROR(SEARCH("Level 3",H3)))</formula>
    </cfRule>
    <cfRule type="containsText" priority="5" operator="containsText" dxfId="40" text="Level 4">
      <formula>NOT(ISERROR(SEARCH("Level 4",H3)))</formula>
    </cfRule>
  </conditionalFormatting>
  <conditionalFormatting sqref="M3:O10">
    <cfRule type="expression" priority="22" dxfId="118">
      <formula>AND(ISNUMBER(SEARCH("Premium",M3)),AuditTier="Standard")</formula>
    </cfRule>
    <cfRule type="expression" priority="23" dxfId="117">
      <formula>AND(OR(ISNUMBER(SEARCH("Managed Environments",M3)),ISNUMBER(SEARCH("Managed Environment",M3))),ManagedEnvironmentsEnabled="Not enabled")</formula>
    </cfRule>
    <cfRule type="expression" priority="24" dxfId="116">
      <formula>AND(OR(ISNUMBER(SEARCH("10-year",M3)),ISNUMBER(SEARCH("10yr",M3)),ISNUMBER(SEARCH("10 years",M3)),ISNUMBER(SEARCH("WORM",M3)),ISNUMBER(SEARCH("immutable",M3))),LongTermRetentionAddOn="No")</formula>
    </cfRule>
    <cfRule type="expression" priority="25" dxfId="115">
      <formula>AND(ISNUMBER(SEARCH("if licensed",M3)),TargetGovTier="Baseline")</formula>
    </cfRule>
  </conditionalFormatting>
  <conditionalFormatting sqref="B14:G21">
    <cfRule type="expression" priority="26" dxfId="118">
      <formula>AND(ISNUMBER(SEARCH("Premium",B14)),AuditTier="Standard")</formula>
    </cfRule>
    <cfRule type="expression" priority="27" dxfId="117">
      <formula>AND(OR(ISNUMBER(SEARCH("Managed Environments",B14)),ISNUMBER(SEARCH("Managed Environment",B14))),ManagedEnvironmentsEnabled="Not enabled")</formula>
    </cfRule>
    <cfRule type="expression" priority="28" dxfId="116">
      <formula>AND(OR(ISNUMBER(SEARCH("10-year",B14)),ISNUMBER(SEARCH("10yr",B14)),ISNUMBER(SEARCH("10 years",B14)),ISNUMBER(SEARCH("WORM",B14)),ISNUMBER(SEARCH("immutable",B14))),LongTermRetentionAddOn="No")</formula>
    </cfRule>
    <cfRule type="expression" priority="29" dxfId="115">
      <formula>AND(ISNUMBER(SEARCH("if licensed",B14)),TargetGovTier="Baseline")</formula>
    </cfRule>
  </conditionalFormatting>
  <dataValidations count="1">
    <dataValidation sqref="H3:H10" showDropDown="0" showInputMessage="1" showErrorMessage="1" allowBlank="1" type="list">
      <formula1>"Level 0 - None,Level 1 - Initial,Level 2 - Developing,Level 3 - Defined,Level 4 - Managed"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P27"/>
  <sheetViews>
    <sheetView workbookViewId="0">
      <pane ySplit="1" topLeftCell="A5" activePane="bottomLeft" state="frozen"/>
      <selection pane="bottomLeft" activeCell="E13" sqref="E13"/>
    </sheetView>
  </sheetViews>
  <sheetFormatPr baseColWidth="8" defaultRowHeight="15" customHeight="1"/>
  <cols>
    <col width="27.42578125" bestFit="1" customWidth="1" style="101" min="1" max="1"/>
    <col width="49.28515625" bestFit="1" customWidth="1" style="64" min="2" max="2"/>
    <col width="37.28515625" bestFit="1" customWidth="1" style="64" min="3" max="3"/>
    <col width="20.7109375" bestFit="1" customWidth="1" style="64" min="4" max="4"/>
    <col width="15.28515625" customWidth="1" style="64" min="5" max="5"/>
    <col width="38.140625" customWidth="1" style="64" min="6" max="6"/>
    <col width="19" customWidth="1" style="64" min="7" max="7"/>
    <col width="13.7109375" bestFit="1" customWidth="1" style="101" min="8" max="10"/>
    <col width="10" bestFit="1" customWidth="1" style="101" min="11" max="11"/>
    <col width="13.7109375" bestFit="1" customWidth="1" style="101" min="12" max="12"/>
    <col width="11.42578125" bestFit="1" customWidth="1" style="101" min="13" max="15"/>
    <col width="76.140625" customWidth="1" style="101" min="16" max="16"/>
  </cols>
  <sheetData>
    <row r="1" ht="18" customHeight="1" s="101">
      <c r="A1" s="135" t="inlineStr">
        <is>
          <t>PILLAR 2: MANAGEMENT CONTROLS</t>
        </is>
      </c>
    </row>
    <row r="2" ht="49.5" customHeight="1" s="101">
      <c r="A2" s="5" t="inlineStr">
        <is>
          <t>Control ID</t>
        </is>
      </c>
      <c r="B2" s="5" t="inlineStr">
        <is>
          <t>Control Name</t>
        </is>
      </c>
      <c r="C2" s="5" t="inlineStr">
        <is>
          <t>Primary Regulatory Reference</t>
        </is>
      </c>
      <c r="D2" s="5" t="inlineStr">
        <is>
          <t>Notes</t>
        </is>
      </c>
      <c r="E2" s="5" t="inlineStr">
        <is>
          <t>Setup Time</t>
        </is>
      </c>
      <c r="F2" s="5" t="inlineStr">
        <is>
          <t>Time Breakdown</t>
        </is>
      </c>
      <c r="G2" s="5" t="inlineStr">
        <is>
          <t>Recurring Review</t>
        </is>
      </c>
      <c r="H2" s="5" t="inlineStr">
        <is>
          <t>Current State</t>
        </is>
      </c>
      <c r="I2" s="5" t="inlineStr">
        <is>
          <t>Evidence Location</t>
        </is>
      </c>
      <c r="J2" s="5" t="inlineStr">
        <is>
          <t>Target Date</t>
        </is>
      </c>
      <c r="K2" s="5" t="inlineStr">
        <is>
          <t>Owner</t>
        </is>
      </c>
      <c r="L2" s="5" t="inlineStr">
        <is>
          <t>Gap Priority</t>
        </is>
      </c>
      <c r="M2" s="5" t="inlineStr">
        <is>
          <t>Baseline capability</t>
        </is>
      </c>
      <c r="N2" s="5" t="inlineStr">
        <is>
          <t>Recommended capability</t>
        </is>
      </c>
      <c r="O2" s="5" t="inlineStr">
        <is>
          <t>Regulated/High-risk capability</t>
        </is>
      </c>
      <c r="P2" s="69" t="inlineStr">
        <is>
          <t>Verification Steps</t>
        </is>
      </c>
    </row>
    <row r="3" ht="180" customHeight="1" s="101">
      <c r="A3" s="2" t="inlineStr">
        <is>
          <t>2.1</t>
        </is>
      </c>
      <c r="B3" s="2" t="inlineStr">
        <is>
          <t>Managed Environments</t>
        </is>
      </c>
      <c r="C3" s="2" t="inlineStr">
        <is>
          <t>FINRA 4511, GLBA 501(b)</t>
        </is>
      </c>
      <c r="D3" s="2" t="inlineStr">
        <is>
          <t>Note: Managed Environments capabilities (sharing limits, insights, solution checker enforcement) depend on your Power Platform licensing and tenant configuration. Document what is enabled in your tenant and set zone targets accordingly.</t>
        </is>
      </c>
      <c r="E3" s="2" t="inlineStr">
        <is>
          <t>5-15 min</t>
        </is>
      </c>
      <c r="F3" s="2" t="inlineStr">
        <is>
          <t>Enable Managed Environments (5 min) + Verify propagation and features (10 min)</t>
        </is>
      </c>
      <c r="G3" s="2" t="inlineStr">
        <is>
          <t>10 min/quarter</t>
        </is>
      </c>
      <c r="H3" s="2" t="n"/>
      <c r="I3" s="2" t="n"/>
      <c r="J3" s="17" t="n"/>
      <c r="K3" s="2" t="n"/>
      <c r="L3"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3" s="2" t="inlineStr">
        <is>
          <t>Baseline: Separate dev/test/prod environments; document environment purpose, owners, and access.</t>
        </is>
      </c>
      <c r="N3" s="43" t="inlineStr">
        <is>
          <t>HOW TO ENABLE MANAGED ENVIRONMENTS:
Portal: https://admin.powerplatform.microsoft.com/
Path: Environments → [select env] → Edit → toggle "Managed Environments" = ON
Features Unlocked: Governance Insights, Sharing Limits, Solution Checker Enforcement
Zone 1: Optional | Zone 2: Recommended | Zone 3: MANDATORY
Setup Time: 5 minutes | Validation Time: 10 minutes after propagation
Features enabled:
□ Governance Insights - view maker adoption, app inventory
□ Sharing Limits - restrict who can share apps
□ Solution Checker - block incompatible solutions
□ Admin Alerts - email notifications on changes
□ Maker Insights - compliance status visibility</t>
        </is>
      </c>
      <c r="O3" s="2" t="inlineStr">
        <is>
          <t>Regulated/High-risk: Managed Environments required with strict sharing limits, enforcement (block), and continuous governance review.</t>
        </is>
      </c>
      <c r="P3" s="98" t="inlineStr">
        <is>
          <t>VERIFICATION STEPS:
1. Go to Power Platform Admin Center → Manage → Environments
2. Select a Zone 2 or Zone 3 environment and click "Edit"
3. Scroll to "Managed Environments" section
4. Verify toggle is "ON" (should show green checkmark)
5. Click "Governance Insights" - should show:
   - Maker adoption metrics
   - App inventory
   - Policy violation summary
EXPECTED RESULT: Managed Environments are enabled; Governance Insights are available; metrics are populated</t>
        </is>
      </c>
    </row>
    <row r="4" ht="180" customHeight="1" s="101">
      <c r="A4" s="2" t="inlineStr">
        <is>
          <t>2.2</t>
        </is>
      </c>
      <c r="B4" s="2" t="inlineStr">
        <is>
          <t>Environment Groups and Locked Rules</t>
        </is>
      </c>
      <c r="C4" s="2" t="inlineStr">
        <is>
          <t>FINRA Rule 4511(b), GLBA 501(b), SOX 302</t>
        </is>
      </c>
      <c r="D4" s="2" t="inlineStr">
        <is>
          <t>Define environment standards, create environment group, configure locked rules, publish to all prod environments.</t>
        </is>
      </c>
      <c r="E4" s="2" t="inlineStr">
        <is>
          <t>45-60 min</t>
        </is>
      </c>
      <c r="F4" s="2" t="inlineStr">
        <is>
          <t>Document environment standards (20 min) + Create environment group (15 min) + Configure locked rules (20 min) + Test rule enforcement (10 min)</t>
        </is>
      </c>
      <c r="G4" s="2" t="inlineStr">
        <is>
          <t>15 min/month</t>
        </is>
      </c>
      <c r="H4" s="2" t="n"/>
      <c r="I4" s="2" t="n"/>
      <c r="J4" s="17" t="n"/>
      <c r="K4" s="2" t="n"/>
      <c r="L4"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4" s="2" t="inlineStr">
        <is>
          <t>Baseline: Define environment standards and manual checks before promotion to production.</t>
        </is>
      </c>
      <c r="N4" s="2" t="inlineStr">
        <is>
          <t>Recommended: Use Environment Groups with locked rules to standardize controls across environments.</t>
        </is>
      </c>
      <c r="O4" s="2" t="inlineStr">
        <is>
          <t>Regulated/High-risk: Locked rules enforced for all production and regulated workloads; periodic exception review.</t>
        </is>
      </c>
      <c r="P4" s="98" t="inlineStr">
        <is>
          <t>VERIFICATION STEPS:
1. Go to Power Platform Admin Center → Manage → Environment groups
2. Select your environment group (e.g., "Zone 3 - Enterprise")
3. Click "Rules" tab
4. Verify at least one rule is present and status is "Active"
5. Review rule configuration - confirm it enforces your organization's standards
   (e.g., Managed Environments must be ON, Solution Checker must WARN, etc.)
EXPECTED RESULT: Environment group exists; rules are active; rules enforce organizational standards</t>
        </is>
      </c>
    </row>
    <row r="5" ht="180" customHeight="1" s="101">
      <c r="A5" s="2" t="inlineStr">
        <is>
          <t>2.3</t>
        </is>
      </c>
      <c r="B5" s="2" t="inlineStr">
        <is>
          <t>Environment Routing</t>
        </is>
      </c>
      <c r="C5" s="2" t="inlineStr">
        <is>
          <t>FINRA 4511, GLBA 501(b)</t>
        </is>
      </c>
      <c r="D5" s="2" t="inlineStr">
        <is>
          <t>Configure environment routing for maker groups, verify routing logic, test with sample maker creation.</t>
        </is>
      </c>
      <c r="E5" s="2" t="inlineStr">
        <is>
          <t>30 min</t>
        </is>
      </c>
      <c r="F5" s="2" t="inlineStr">
        <is>
          <t>Enable environment routing (10 min) + Define routing rules by security group (15 min) + Test routing (5 min)</t>
        </is>
      </c>
      <c r="G5" s="2" t="inlineStr">
        <is>
          <t>10 min/month</t>
        </is>
      </c>
      <c r="H5" s="2" t="n"/>
      <c r="I5" s="2" t="n"/>
      <c r="J5" s="17" t="n"/>
      <c r="K5" s="2" t="n"/>
      <c r="L5"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5" s="2" t="inlineStr">
        <is>
          <t>Baseline: Document where makers build and where production runs; restrict prod creation to authorized users.</t>
        </is>
      </c>
      <c r="N5" s="2" t="inlineStr">
        <is>
          <t>Recommended: Implement Environment Routing to steer makers to correct environments by group.</t>
        </is>
      </c>
      <c r="O5" s="2" t="inlineStr">
        <is>
          <t>Regulated/High-risk: Routing enforced + monitored; deviations trigger alerts and remediation.</t>
        </is>
      </c>
      <c r="P5" s="98" t="inlineStr">
        <is>
          <t>VERIFICATION STEPS:
1. Go to Power Platform Admin Center → Manage → Tenant settings → Environment routing
2. Verify "Environment routing" is "Enabled"
3. Confirm routing logic is configured for maker groups:
   - Path: Settings → Routing configuration → [Check your rules]
4. Ask a non-admin maker to create a new app (they should be routed to dev environment, not prod)
5. Verify routing worked by checking maker's environment selection in app creation flow
EXPECTED RESULT: Environment routing is enabled; makers are routed to correct environments; prod is restricted</t>
        </is>
      </c>
    </row>
    <row r="6" ht="180" customHeight="1" s="101">
      <c r="A6" s="2" t="inlineStr">
        <is>
          <t>2.4</t>
        </is>
      </c>
      <c r="B6" s="2" t="inlineStr">
        <is>
          <t>Application Lifecycle Management (ALM) with Pipelines</t>
        </is>
      </c>
      <c r="C6" s="2" t="inlineStr">
        <is>
          <t>FINRA Rule 4511(d), SOX 302, GLBA 501(b)</t>
        </is>
      </c>
      <c r="D6" s="2" t="inlineStr">
        <is>
          <t>Create dev/test/prod environments, set up pipeline, define approval gates, configure audit logging.</t>
        </is>
      </c>
      <c r="E6" s="2" t="inlineStr">
        <is>
          <t>2-3 hours</t>
        </is>
      </c>
      <c r="F6" s="2" t="inlineStr">
        <is>
          <t>Create/verify environments (dev/test/prod) (30 min) + Create pipeline in maker portal (20 min) + Configure approval gates (30 min) + Set up testing procedures (30 min) + Link to audit logging (15 min)</t>
        </is>
      </c>
      <c r="G6" s="2" t="inlineStr">
        <is>
          <t>30 min/week</t>
        </is>
      </c>
      <c r="H6" s="2" t="n"/>
      <c r="I6" s="2" t="n"/>
      <c r="J6" s="17" t="n"/>
      <c r="K6" s="2" t="n"/>
      <c r="L6"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6" s="2" t="inlineStr">
        <is>
          <t>Baseline: Manual ALM with documented approvals and versioning; separate dev/test/prod.</t>
        </is>
      </c>
      <c r="N6" s="2" t="inlineStr">
        <is>
          <t>Recommended: Use ALM with Pipelines + approvals; automate deployments and keep evidence.</t>
        </is>
      </c>
      <c r="O6" s="2" t="inlineStr">
        <is>
          <t>Regulated/High-risk: Pipelines required with segregation of duties, mandatory testing gates, and audit log linkage.</t>
        </is>
      </c>
      <c r="P6" s="98" t="inlineStr">
        <is>
          <t>VERIFICATION STEPS:
1. Go to make.powerapps.com → Pipelines (in left sidebar)
2. Verify at least one pipeline exists for your primary solution
3. Select pipeline and review stages: should show Dev → Test → Production
4. Confirm each stage has approval requirement:
   - Click stage → "Approvals" section → verify approvers are assigned
5. Test approval process: Deploy a test solution and verify approval request is sent
EXPECTED RESULT: Pipeline exists; all stages are configured; approvals are required; notifications are working</t>
        </is>
      </c>
    </row>
    <row r="7" ht="180" customHeight="1" s="101">
      <c r="A7" s="2" t="inlineStr">
        <is>
          <t>2.5</t>
        </is>
      </c>
      <c r="B7" s="2" t="inlineStr">
        <is>
          <t>Blocking Unmanaged Customizations</t>
        </is>
      </c>
      <c r="C7" s="2" t="inlineStr">
        <is>
          <t>FINRA 4511(b), SOX 302</t>
        </is>
      </c>
      <c r="D7" s="2" t="inlineStr">
        <is>
          <t>Enable managed solutions requirement in prod environment, document policy, notify makers.</t>
        </is>
      </c>
      <c r="E7" s="2" t="inlineStr">
        <is>
          <t>15 min</t>
        </is>
      </c>
      <c r="F7" s="2" t="inlineStr">
        <is>
          <t>Enable setting in Power Platform Admin Center (5 min) + Document policy and send notification to makers (10 min)</t>
        </is>
      </c>
      <c r="G7" s="2" t="inlineStr">
        <is>
          <t>5 min/month</t>
        </is>
      </c>
      <c r="H7" s="2" t="n"/>
      <c r="I7" s="2" t="n"/>
      <c r="J7" s="17" t="n"/>
      <c r="K7" s="2" t="n"/>
      <c r="L7"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7" s="2" t="inlineStr">
        <is>
          <t>Baseline: Policy prohibiting direct changes in production; manual review of changes.</t>
        </is>
      </c>
      <c r="N7" s="2" t="inlineStr">
        <is>
          <t>Recommended: Block unmanaged customizations in prod and require managed solutions.</t>
        </is>
      </c>
      <c r="O7" s="2" t="inlineStr">
        <is>
          <t>Regulated/High-risk: Strict enforcement + monitoring; exceptions require formal risk acceptance.</t>
        </is>
      </c>
      <c r="P7" s="98" t="inlineStr">
        <is>
          <t>VERIFICATION STEPS:
1. Go to Power Platform Admin Center → Environments → [Production environment] → Settings
2. Scroll to "Features" section
3. Search for "Unmanaged customizations"
4. Verify toggle is "On" (should show green/enabled state)
5. Create test app in production and verify all changes are managed (not direct edits)
EXPECTED RESULT: Unmanaged customizations are blocked in production; all changes are managed solutions</t>
        </is>
      </c>
    </row>
    <row r="8" ht="180" customHeight="1" s="101">
      <c r="A8" s="2" t="inlineStr">
        <is>
          <t>2.6</t>
        </is>
      </c>
      <c r="B8" s="2" t="inlineStr">
        <is>
          <t>Maker Welcome Content and Training</t>
        </is>
      </c>
      <c r="C8" s="2" t="inlineStr">
        <is>
          <t>FINRA 4512, GLBA 501(a)</t>
        </is>
      </c>
      <c r="D8" s="2" t="inlineStr">
        <is>
          <t>Create governance welcome content, upload to SharePoint, set up LMS or training tracking, configure mandatory completion.</t>
        </is>
      </c>
      <c r="E8" s="2" t="inlineStr">
        <is>
          <t>3-4 hours</t>
        </is>
      </c>
      <c r="F8" s="2" t="inlineStr">
        <is>
          <t>Create welcome content document (60-90 min) + Upload to SharePoint and configure access (30 min) + Set up training completion tracking (45 min) + Configure access denial if incomplete (15 min)</t>
        </is>
      </c>
      <c r="G8" s="2" t="inlineStr">
        <is>
          <t>30 min/month</t>
        </is>
      </c>
      <c r="H8" s="2" t="n"/>
      <c r="I8" s="2" t="n"/>
      <c r="J8" s="17" t="n"/>
      <c r="K8" s="2" t="n"/>
      <c r="L8" s="2">
        <f>IF(TblManagementControlsList[[#This Row],[Current State]]="","NOT ASSESSED",IF(OR(TblManagementControlsList[[#This Row],[Current State]]="Level 0 - None",TblManagementControlsList[[#This Row],[Current State]]="Level 1 - Initial"),"HIGH",IF(TblManagementControlsList[[#This Row],[Current State]]="Level 2 - Developing","MEDIUM","LOW")))</f>
        <v/>
      </c>
      <c r="M8" s="2" t="inlineStr">
        <is>
          <t>Baseline: Publish governance guidance and require annual training for makers.</t>
        </is>
      </c>
      <c r="N8" s="2" t="inlineStr">
        <is>
          <t>Recommended: Maker Welcome Content + role-based training; track completion centrally.</t>
        </is>
      </c>
      <c r="O8" s="2" t="inlineStr">
        <is>
          <t>Regulated/High-risk: Mandatory training + recertification; deny maker access if training is incomplete.</t>
        </is>
      </c>
      <c r="P8" s="98" t="inlineStr">
        <is>
          <t>VERIFICATION STEPS:
1. Go to Microsoft 365 Admin Center → Settings → Org settings → Maker Welcome Content
2. Verify welcome content URL/document is configured (should link to SharePoint or LMS)
3. Log in as a new maker (or clear app session) and access Power Apps
4. Confirm welcome message/banner appears on first visit
5. Check training completion tracking:
   - Path: [Your LMS or SharePoint library] → Review completion records
   - Verify at least one maker has "Completed" status
EXPECTED RESULT: Welcome content is active; new makers see message; training tracking is functional; records are maintained</t>
        </is>
      </c>
    </row>
    <row r="9" ht="18" customHeight="1" s="101">
      <c r="A9" s="128" t="inlineStr">
        <is>
          <t>2.7</t>
        </is>
      </c>
      <c r="B9" s="128" t="inlineStr">
        <is>
          <t>Knowledge Source Controls</t>
        </is>
      </c>
      <c r="C9" s="128" t="inlineStr">
        <is>
          <t>FINRA 4511, SEC Reg S-P, GLBA 501(b)</t>
        </is>
      </c>
      <c r="D9" s="128" t="inlineStr">
        <is>
          <t>Controls which data sources agents can access for grounding (SharePoint sites, Dataverse tables, websites).</t>
        </is>
      </c>
      <c r="E9" s="128" t="inlineStr">
        <is>
          <t>30-60 min</t>
        </is>
      </c>
      <c r="F9" s="128" t="inlineStr">
        <is>
          <t>Define approved sources (15 min) + Configure restrictions in DLP (30 min) + Test access (15 min)</t>
        </is>
      </c>
      <c r="G9" s="128" t="inlineStr">
        <is>
          <t>30 min/month</t>
        </is>
      </c>
      <c r="L9" s="128" t="inlineStr">
        <is>
          <t>NOT ASSESSED</t>
        </is>
      </c>
      <c r="M9" s="128" t="inlineStr">
        <is>
          <t>Baseline: Document approved knowledge sources per zone; restrict to internal SharePoint only for Zone 1.</t>
        </is>
      </c>
      <c r="N9" s="128" t="inlineStr">
        <is>
          <t>Recommended: DLP policies restricting knowledge sources by environment; approved site list for Zone 2/3.</t>
        </is>
      </c>
      <c r="O9" s="128" t="inlineStr">
        <is>
          <t>Regulated/High-risk: Formal approval for each knowledge source; sensitivity label requirements; continuous monitoring of data access.</t>
        </is>
      </c>
      <c r="P9" s="128" t="inlineStr">
        <is>
          <t>VERIFICATION STEPS:
1. Go to Power Platform Admin Center → Policies → Data policies
2. Verify SharePoint connector has URL patterns configured
3. Test: Attempt to add unapproved SharePoint site as knowledge source - should fail
4. Verify approved sites work correctly
5. Check agent has access only to intended content
EXPECTED RESULT: Knowledge sources restricted to approved list; violations blocked</t>
        </is>
      </c>
    </row>
    <row r="10" ht="18" customHeight="1" s="101">
      <c r="A10" s="128" t="inlineStr">
        <is>
          <t>2.8</t>
        </is>
      </c>
      <c r="B10" s="128" t="inlineStr">
        <is>
          <t>AI Prompts and Generative AI Settings</t>
        </is>
      </c>
      <c r="C10" s="128" t="inlineStr">
        <is>
          <t>FINRA Reg Notice 25-07, SEC AI priorities, SOX 302</t>
        </is>
      </c>
      <c r="D10" s="128" t="inlineStr">
        <is>
          <t>Controls AI model settings, prompt injection protection via Environment Group rules.</t>
        </is>
      </c>
      <c r="E10" s="128" t="inlineStr">
        <is>
          <t>45-60 min</t>
        </is>
      </c>
      <c r="L10" s="128" t="inlineStr">
        <is>
          <t>NOT ASSESSED</t>
        </is>
      </c>
      <c r="M10" s="128" t="inlineStr">
        <is>
          <t>Baseline: Use default AI model settings; document prompt guidelines.</t>
        </is>
      </c>
      <c r="N10" s="128" t="inlineStr">
        <is>
          <t>Recommended: Configure AI prompts rule via Environment Groups; restrict to approved models.</t>
        </is>
      </c>
      <c r="O10" s="128" t="inlineStr">
        <is>
          <t>Regulated: Locked AI model config; prompt injection protection; formal review of all prompts.</t>
        </is>
      </c>
      <c r="P10" s="128" t="inlineStr">
        <is>
          <t>VERIFICATION STEPS:
1. Go to Power Platform Admin Center → Environment groups → [group] → Rules
2. Verify "AI prompts" rule is configured (restrict/allow as appropriate)
3. Verify "Generative AI settings" rule is configured
4. Test: Attempt to modify AI settings in locked environment - should fail
5. Review agent system prompts for compliance
EXPECTED RESULT: AI settings locked per zone; prompt guidelines enforced</t>
        </is>
      </c>
    </row>
    <row r="11" ht="18" customHeight="1" s="101">
      <c r="A11" s="128" t="inlineStr">
        <is>
          <t>2.9</t>
        </is>
      </c>
      <c r="B11" s="128" t="inlineStr">
        <is>
          <t>Transcript Retention Controls</t>
        </is>
      </c>
      <c r="C11" s="128" t="inlineStr">
        <is>
          <t>FINRA 4511, SEC 17a-3/4, GLBA 501(b)</t>
        </is>
      </c>
      <c r="D11" s="128" t="inlineStr">
        <is>
          <t>Controls retention period for agent conversation transcripts via Environment Group rules.</t>
        </is>
      </c>
      <c r="E11" s="128" t="inlineStr">
        <is>
          <t>20-30 min</t>
        </is>
      </c>
      <c r="F11" s="128" t="inlineStr">
        <is>
          <t>Define retention requirements (10 min) + Configure rule (10 min) + Test enforcement (10 min)</t>
        </is>
      </c>
      <c r="G11" s="128" t="inlineStr">
        <is>
          <t>10 min/quarter</t>
        </is>
      </c>
      <c r="L11" s="128" t="inlineStr">
        <is>
          <t>NOT ASSESSED</t>
        </is>
      </c>
      <c r="M11" s="128" t="inlineStr">
        <is>
          <t>Baseline: Set transcript retention aligned to regulatory minimum (6 years for FINRA/SEC).</t>
        </is>
      </c>
      <c r="N11" s="128" t="inlineStr">
        <is>
          <t>Recommended: Configure "Accessing transcripts" rule via Environment Groups; align retention to agent zone and use case.</t>
        </is>
      </c>
      <c r="O11" s="128" t="inlineStr">
        <is>
          <t>Regulated/High-risk: Locked retention settings per regulation; Zone 3 = maximum retention; integrate with Purview retention policies.</t>
        </is>
      </c>
      <c r="P11" s="128" t="inlineStr">
        <is>
          <t>VERIFICATION STEPS:
1. Go to Power Platform Admin Center → Environment groups → [group] → Rules
2. Verify "Accessing transcripts" rule is configured with correct retention period
3. Verify "Back-up retention" rule aligns with transcript retention
4. Check that retention cannot be reduced below regulatory minimum
5. Test: Verify transcripts are accessible for required period
EXPECTED RESULT: Transcript retention locked; meets regulatory requirements</t>
        </is>
      </c>
    </row>
    <row r="12" ht="18" customHeight="1" s="101">
      <c r="A12" s="128" t="inlineStr">
        <is>
          <t>2.10</t>
        </is>
      </c>
      <c r="B12" s="128" t="inlineStr">
        <is>
          <t>Solution Checker Enforcement</t>
        </is>
      </c>
      <c r="C12" s="128" t="inlineStr">
        <is>
          <t>SOX 302/404, FINRA 4511</t>
        </is>
      </c>
      <c r="D12" s="128" t="inlineStr">
        <is>
          <t>Enforces code quality and security checks before agent deployment via Environment Group rules.</t>
        </is>
      </c>
      <c r="E12" s="128" t="inlineStr">
        <is>
          <t>20-30 min</t>
        </is>
      </c>
      <c r="F12" s="128" t="inlineStr">
        <is>
          <t>Configure solution checker rule (15 min) + Set enforcement level (10 min) + Test (10 min)</t>
        </is>
      </c>
      <c r="G12" s="128" t="inlineStr">
        <is>
          <t>10 min/month</t>
        </is>
      </c>
      <c r="L12" s="128" t="inlineStr">
        <is>
          <t>NOT ASSESSED</t>
        </is>
      </c>
      <c r="M12" s="128" t="inlineStr">
        <is>
          <t>Baseline: Enable solution checker with warnings during development.</t>
        </is>
      </c>
      <c r="N12" s="128" t="inlineStr">
        <is>
          <t>Recommended: Block deployment on critical issues; warn on medium issues; configure via Environment Groups.</t>
        </is>
      </c>
      <c r="O12" s="128" t="inlineStr">
        <is>
          <t>Regulated/High-risk: Block on all issues in production; mandatory code review; retain scan results as audit evidence.</t>
        </is>
      </c>
      <c r="P12" s="128" t="inlineStr">
        <is>
          <t>VERIFICATION STEPS:
1. Go to Power Platform Admin Center → Environment groups → [group] → Rules
2. Verify solution checker rule is configured
3. Test: Deploy solution with known issue - verify it is blocked in production environment
4. Verify warnings appear in development environment
5. Check scan results are retained in audit log
EXPECTED RESULT: Critical issues blocked in prod; warnings in dev; results logged</t>
        </is>
      </c>
    </row>
    <row r="13" ht="18" customHeight="1" s="101">
      <c r="A13" s="128" t="inlineStr">
        <is>
          <t>2.11</t>
        </is>
      </c>
      <c r="B13" s="128" t="inlineStr">
        <is>
          <t>Skills and Plugins Controls</t>
        </is>
      </c>
      <c r="C13" s="128" t="inlineStr">
        <is>
          <t>FINRA Reg Notice 25-07, SEC AI priorities, SOX 302</t>
        </is>
      </c>
      <c r="D13" s="128" t="inlineStr">
        <is>
          <t>Environment Group rules controlling agent skills (Power Automate flows) and plugins (external integrations). Restrict custom skills in production.</t>
        </is>
      </c>
      <c r="E13" s="128" t="inlineStr">
        <is>
          <t>30-45 min</t>
        </is>
      </c>
      <c r="F13" s="128" t="inlineStr">
        <is>
          <t>Define skills policy (15 min) + Configure rules (20 min) + Test enforcement (15 min)</t>
        </is>
      </c>
      <c r="G13" s="128" t="inlineStr">
        <is>
          <t>15 min/month</t>
        </is>
      </c>
      <c r="L13" s="128" t="inlineStr">
        <is>
          <t>NOT ASSESSED</t>
        </is>
      </c>
      <c r="M13" s="128" t="inlineStr">
        <is>
          <t>Baseline: Block custom skills in Zone 1; allow pre-approved skills only in Zone 2/3.</t>
        </is>
      </c>
      <c r="N13" s="128" t="inlineStr">
        <is>
          <t>Recommended: Skills allowlist via Environment Group rules; require approval for new skills; audit skill usage.</t>
        </is>
      </c>
      <c r="O13" s="128" t="inlineStr">
        <is>
          <t>Regulated/High-risk: No custom skills in production without formal review; skills versioning required; rollback capability.</t>
        </is>
      </c>
      <c r="P13" s="128" t="inlineStr">
        <is>
          <t>VERIFICATION STEPS:
1. Go to PPAC → Environment groups → [group] → Rules
2. Locate "Skills" rule and verify configuration
3. Test: Attempt to add unapproved skill - should fail
4. Verify approved skills work correctly
5. Check audit log for skill usage
EXPECTED RESULT: Skills restricted per zone; violations blocked</t>
        </is>
      </c>
    </row>
    <row r="14" ht="18" customHeight="1" s="101">
      <c r="A14" s="128" t="inlineStr">
        <is>
          <t>2.12</t>
        </is>
      </c>
      <c r="B14" s="128" t="inlineStr">
        <is>
          <t>Autonomous Agent Controls</t>
        </is>
      </c>
      <c r="C14" s="128" t="inlineStr">
        <is>
          <t>FINRA Reg Notice 25-07, SEC AI priorities, OCC 2011-12, Fed SR 11-7</t>
        </is>
      </c>
      <c r="D14" s="128" t="inlineStr">
        <is>
          <t>Controls for autonomous agents that can take actions without human approval. Critical for financial services - require human-in-the-loop for high-risk actions.</t>
        </is>
      </c>
      <c r="E14" s="128" t="inlineStr">
        <is>
          <t>45-60 min</t>
        </is>
      </c>
      <c r="F14" s="128" t="inlineStr">
        <is>
          <t>Define autonomy policy (20 min) + Configure rules (25 min) + Test enforcement (20 min)</t>
        </is>
      </c>
      <c r="G14" s="128" t="inlineStr">
        <is>
          <t>30 min/month</t>
        </is>
      </c>
      <c r="L14" s="128" t="inlineStr">
        <is>
          <t>NOT ASSESSED</t>
        </is>
      </c>
      <c r="M14" s="128" t="inlineStr">
        <is>
          <t>Baseline: Disable autonomous actions in Zone 1; require human approval for all actions.</t>
        </is>
      </c>
      <c r="N14" s="128" t="inlineStr">
        <is>
          <t>Recommended: Allow low-risk autonomous actions in Zone 2 with logging; human approval for financial transactions.</t>
        </is>
      </c>
      <c r="O14" s="128" t="inlineStr">
        <is>
          <t>Regulated/High-risk: No autonomous financial actions; all customer-impacting actions require human review; complete audit trail.</t>
        </is>
      </c>
      <c r="P14" s="128" t="inlineStr">
        <is>
          <t>VERIFICATION STEPS:
1. Go to PPAC → Environment groups → [group] → Rules
2. Locate "Autonomous agents" rule
3. Verify setting matches zone requirements (disabled/approval required)
4. Test: Attempt autonomous action - verify approval workflow triggers
5. Check audit log for autonomous action attempts
EXPECTED RESULT: Autonomous actions controlled; approvals required per policy</t>
        </is>
      </c>
    </row>
    <row r="15" ht="18" customHeight="1" s="101">
      <c r="A15" s="128" t="inlineStr">
        <is>
          <t>2.13</t>
        </is>
      </c>
      <c r="B15" s="128" t="inlineStr">
        <is>
          <t>Agent Authentication Rules (Environment Group)</t>
        </is>
      </c>
      <c r="C15" s="128" t="inlineStr">
        <is>
          <t>FINRA 4511, GLBA 501(b), SEC 17a-4</t>
        </is>
      </c>
      <c r="D15" s="128" t="inlineStr">
        <is>
          <t>Environment Group rules enforcing authentication requirements for agents. Complements DLP-based authentication controls with environment-level enforcement.</t>
        </is>
      </c>
      <c r="E15" s="128" t="inlineStr">
        <is>
          <t>20-30 min</t>
        </is>
      </c>
      <c r="F15" s="128" t="inlineStr">
        <is>
          <t>Review auth options (10 min) + Configure rules (15 min) + Test (10 min)</t>
        </is>
      </c>
      <c r="G15" s="128" t="inlineStr">
        <is>
          <t>10 min/month</t>
        </is>
      </c>
      <c r="L15" s="128" t="inlineStr">
        <is>
          <t>NOT ASSESSED</t>
        </is>
      </c>
      <c r="M15" s="128" t="inlineStr">
        <is>
          <t>Baseline: Require Microsoft authentication for all agents via Environment Group rule.</t>
        </is>
      </c>
      <c r="N15" s="128" t="inlineStr">
        <is>
          <t>Recommended: Lock authentication settings to prevent maker override; require SSO for Teams channel.</t>
        </is>
      </c>
      <c r="O15" s="128" t="inlineStr">
        <is>
          <t>Regulated/High-risk: Authentication settings locked at group level; no manual auth options; audit all auth changes.</t>
        </is>
      </c>
      <c r="P15" s="128" t="inlineStr">
        <is>
          <t>VERIFICATION STEPS:
1. Go to PPAC → Environment groups → [group] → Rules
2. Locate "Authentication" rule
3. Verify "Require Microsoft Entra ID" is enabled and locked
4. Test: Attempt to configure agent with manual auth - should fail
5. Verify lock icon appears in environment settings
EXPECTED RESULT: Auth requirements enforced; manual auth blocked</t>
        </is>
      </c>
    </row>
    <row r="16" ht="18" customHeight="1" s="101">
      <c r="A16" s="128" t="inlineStr">
        <is>
          <t>2.14</t>
        </is>
      </c>
      <c r="B16" s="128" t="inlineStr">
        <is>
          <t>Agent Channels Rules (Environment Group)</t>
        </is>
      </c>
      <c r="C16" s="128" t="inlineStr">
        <is>
          <t>FINRA 4511, GLBA 501(b), SEC Reg S-P</t>
        </is>
      </c>
      <c r="D16" s="128" t="inlineStr">
        <is>
          <t>Environment Group rules controlling which channels agents can be published to. Complements DLP-based channel controls with environment-level restrictions.</t>
        </is>
      </c>
      <c r="E16" s="128" t="inlineStr">
        <is>
          <t>20-30 min</t>
        </is>
      </c>
      <c r="F16" s="128" t="inlineStr">
        <is>
          <t>Review channel options (10 min) + Configure rules (15 min) + Test (10 min)</t>
        </is>
      </c>
      <c r="G16" s="128" t="inlineStr">
        <is>
          <t>10 min/month</t>
        </is>
      </c>
      <c r="L16" s="128" t="inlineStr">
        <is>
          <t>NOT ASSESSED</t>
        </is>
      </c>
      <c r="M16" s="128" t="inlineStr">
        <is>
          <t>Baseline: Allow M365 and Teams channels only; block external channels at environment level.</t>
        </is>
      </c>
      <c r="N16" s="128" t="inlineStr">
        <is>
          <t>Recommended: Zone-based channel restrictions via Environment Groups; Zone 1 = M365 only; Zone 2/3 = internal channels.</t>
        </is>
      </c>
      <c r="O16" s="128" t="inlineStr">
        <is>
          <t>Regulated/High-risk: Channel settings locked; no external channels without compliance approval; audit all channel changes.</t>
        </is>
      </c>
      <c r="P16" s="128" t="inlineStr">
        <is>
          <t>VERIFICATION STEPS:
1. Go to PPAC → Environment groups → [group] → Rules
2. Locate "Channels" rule
3. Verify allowed channels match zone policy
4. Test: Attempt to publish to blocked channel - should fail
5. Verify approved channels work correctly
EXPECTED RESULT: Channels restricted per zone; external channels blocked</t>
        </is>
      </c>
    </row>
    <row r="17" ht="18" customHeight="1" s="101">
      <c r="A17" s="3" t="n"/>
      <c r="B17" s="3" t="n"/>
      <c r="C17" s="3" t="n"/>
      <c r="D17" s="3" t="n"/>
      <c r="E17" s="3" t="n"/>
      <c r="F17" s="3" t="n"/>
      <c r="G17" s="3" t="n"/>
      <c r="H17" s="1" t="n"/>
    </row>
    <row r="18" ht="18" customHeight="1" s="101">
      <c r="A18" s="59" t="inlineStr">
        <is>
          <t>MANAGEMENT CONTROL MATRIX BY ZONE</t>
        </is>
      </c>
    </row>
    <row r="19" ht="18" customHeight="1" s="101">
      <c r="A19" s="5" t="inlineStr">
        <is>
          <t>Control</t>
        </is>
      </c>
      <c r="B19" s="14" t="inlineStr">
        <is>
          <t>Zone 1</t>
        </is>
      </c>
      <c r="C19" s="15" t="inlineStr">
        <is>
          <t>Zone 2</t>
        </is>
      </c>
      <c r="D19" s="16" t="inlineStr">
        <is>
          <t>Zone 3</t>
        </is>
      </c>
      <c r="E19" s="16" t="n"/>
      <c r="F19" s="16" t="n"/>
      <c r="G19" s="16" t="n"/>
      <c r="H19" s="1" t="n"/>
    </row>
    <row r="20">
      <c r="A20" s="2" t="inlineStr">
        <is>
          <t>Managed Environments</t>
        </is>
      </c>
      <c r="B20" s="2" t="inlineStr">
        <is>
          <t>Baseline: Separate dev/test/prod; document owners
Recommended: Enable Managed Environments (if licensed)
Regulated: Required + enforcement + continuous review</t>
        </is>
      </c>
      <c r="C20" s="2" t="inlineStr">
        <is>
          <t>Baseline: Standard governance
Recommended: Managed Environments + policies
Regulated: Enforcement (Block) + monitoring</t>
        </is>
      </c>
      <c r="D20" s="2" t="inlineStr">
        <is>
          <t>Baseline: Strict access + approvals
Recommended: Managed Environments + guardrails
Regulated: Mandatory + strict sharing limits + monitoring</t>
        </is>
      </c>
      <c r="E20" s="2" t="n"/>
      <c r="F20" s="2" t="n"/>
      <c r="G20" s="2" t="n"/>
      <c r="H20" s="1" t="n"/>
    </row>
    <row r="21">
      <c r="A21" s="2" t="inlineStr">
        <is>
          <t>Environment Groups</t>
        </is>
      </c>
      <c r="B21" s="2" t="inlineStr">
        <is>
          <t>Baseline: Optional; document standards
Recommended: Use for shared/regulated envs
Regulated: Required for prod standards</t>
        </is>
      </c>
      <c r="C21" s="2" t="inlineStr">
        <is>
          <t>Baseline: Document standards
Recommended: Required for consistency
Regulated: Locked rules enforced</t>
        </is>
      </c>
      <c r="D21" s="2" t="inlineStr">
        <is>
          <t>Baseline: Strict standards
Recommended: Required
Regulated: Required + periodic exception review</t>
        </is>
      </c>
      <c r="E21" s="2" t="n"/>
      <c r="F21" s="2" t="n"/>
      <c r="G21" s="2" t="n"/>
      <c r="H21" s="1" t="n"/>
    </row>
    <row r="22">
      <c r="A22" s="2" t="inlineStr">
        <is>
          <t>Environment Routing</t>
        </is>
      </c>
      <c r="B22" s="2" t="inlineStr">
        <is>
          <t>Baseline: Guidance only
Recommended: Route makers by group
Regulated: Enforce for shared envs</t>
        </is>
      </c>
      <c r="C22" s="2" t="inlineStr">
        <is>
          <t>Baseline: Manual routing
Recommended: Required
Regulated: Required + monitored deviations</t>
        </is>
      </c>
      <c r="D22" s="2" t="inlineStr">
        <is>
          <t>Baseline: Restricted prod access
Recommended: Required
Regulated: Required + alerting on bypass</t>
        </is>
      </c>
      <c r="E22" s="2" t="n"/>
      <c r="F22" s="2" t="n"/>
      <c r="G22" s="2" t="n"/>
      <c r="H22" s="1" t="n"/>
    </row>
    <row r="23">
      <c r="A23" s="2" t="inlineStr">
        <is>
          <t>ALM with Pipelines</t>
        </is>
      </c>
      <c r="B23" s="2" t="inlineStr">
        <is>
          <t>Baseline: Manual ALM + approvals
Recommended: Pipelines for shared work
Regulated: Pipelines with gates</t>
        </is>
      </c>
      <c r="C23" s="2" t="inlineStr">
        <is>
          <t>Baseline: Documented change control
Recommended: Required
Regulated: Mandatory testing/approval gates</t>
        </is>
      </c>
      <c r="D23" s="2" t="inlineStr">
        <is>
          <t>Baseline: Strict change control
Recommended: Required
Regulated: Required + segregation of duties + evidence</t>
        </is>
      </c>
      <c r="E23" s="2" t="n"/>
      <c r="F23" s="2" t="n"/>
      <c r="G23" s="2" t="n"/>
      <c r="H23" s="1" t="n"/>
    </row>
    <row r="24">
      <c r="A24" s="2" t="inlineStr">
        <is>
          <t>Block Unmanaged Solutions</t>
        </is>
      </c>
      <c r="B24" s="2" t="inlineStr">
        <is>
          <t>Baseline: Policy (no direct prod edits)
Recommended: Prefer managed solutions
Regulated: Block in prod</t>
        </is>
      </c>
      <c r="C24" s="2" t="inlineStr">
        <is>
          <t>Baseline: Documented controls
Recommended: Yes
Regulated: Yes + monitoring</t>
        </is>
      </c>
      <c r="D24" s="2" t="inlineStr">
        <is>
          <t>Baseline: Required
Recommended: Yes
Regulated: Yes + exceptions via risk acceptance</t>
        </is>
      </c>
      <c r="E24" s="2" t="n"/>
      <c r="F24" s="2" t="n"/>
      <c r="G24" s="2" t="n"/>
      <c r="H24" s="1" t="n"/>
    </row>
    <row r="25">
      <c r="A25" s="2" t="inlineStr">
        <is>
          <t>Maker Welcome Content</t>
        </is>
      </c>
      <c r="B25" s="2" t="inlineStr">
        <is>
          <t>Baseline: Publish guidance
Recommended: Welcome content
Regulated: Track training completion</t>
        </is>
      </c>
      <c r="C25" s="2" t="inlineStr">
        <is>
          <t>Baseline: Guidance + training
Recommended: Required training
Regulated: Block access if incomplete</t>
        </is>
      </c>
      <c r="D25" s="2" t="inlineStr">
        <is>
          <t>Baseline: Mandatory policy
Recommended: Role-based training
Regulated: Mandatory recertification + enforcement</t>
        </is>
      </c>
      <c r="E25" s="2" t="n"/>
      <c r="F25" s="2" t="n"/>
      <c r="G25" s="2" t="n"/>
      <c r="H25" s="1" t="n"/>
    </row>
    <row r="26">
      <c r="A26" s="2" t="inlineStr">
        <is>
          <t>Sharing Limit (if Managed)</t>
        </is>
      </c>
      <c r="B26" s="2" t="inlineStr">
        <is>
          <t>Baseline: Policy-defined
Recommended: Configurable limits
Regulated: Tight limits for sensitive data</t>
        </is>
      </c>
      <c r="C26" s="2" t="inlineStr">
        <is>
          <t>Baseline: Policy-defined
Recommended: Configurable limits
Regulated: Restrict group sharing as needed</t>
        </is>
      </c>
      <c r="D26" s="2" t="inlineStr">
        <is>
          <t>Baseline: Restrictive by policy
Recommended: Admin-controlled
Regulated: Admin-only + continuous review</t>
        </is>
      </c>
      <c r="E26" s="2" t="n"/>
      <c r="F26" s="2" t="n"/>
      <c r="G26" s="2" t="n"/>
      <c r="H26" s="1" t="n"/>
    </row>
    <row r="27">
      <c r="A27" s="2" t="inlineStr">
        <is>
          <t>Solution Checker</t>
        </is>
      </c>
      <c r="B27" s="2" t="inlineStr">
        <is>
          <t>Baseline: Use during build
Recommended: Warn
Regulated: Block for critical issues</t>
        </is>
      </c>
      <c r="C27" s="2" t="inlineStr">
        <is>
          <t>Baseline: Use during build
Recommended: Warn or Block
Regulated: Block in shared envs</t>
        </is>
      </c>
      <c r="D27" s="2" t="inlineStr">
        <is>
          <t>Baseline: Required
Recommended: Block
Regulated: Block + documented exceptions</t>
        </is>
      </c>
      <c r="E27" s="2" t="n"/>
      <c r="F27" s="2" t="n"/>
      <c r="G27" s="2" t="n"/>
      <c r="H27" s="1" t="n"/>
    </row>
  </sheetData>
  <mergeCells count="1">
    <mergeCell ref="A1:H1"/>
  </mergeCells>
  <conditionalFormatting sqref="H3:H8">
    <cfRule type="containsText" priority="1" operator="containsText" dxfId="39" text="Level 0">
      <formula>NOT(ISERROR(SEARCH("Level 0",H3)))</formula>
    </cfRule>
    <cfRule type="containsText" priority="2" operator="containsText" dxfId="126" text="Level 1">
      <formula>NOT(ISERROR(SEARCH("Level 1",H3)))</formula>
    </cfRule>
    <cfRule type="containsText" priority="3" operator="containsText" dxfId="43" text="Level 2">
      <formula>NOT(ISERROR(SEARCH("Level 2",H3)))</formula>
    </cfRule>
    <cfRule type="containsText" priority="4" operator="containsText" dxfId="46" text="Level 3">
      <formula>NOT(ISERROR(SEARCH("Level 3",H3)))</formula>
    </cfRule>
    <cfRule type="containsText" priority="5" operator="containsText" dxfId="40" text="Level 4">
      <formula>NOT(ISERROR(SEARCH("Level 4",H3)))</formula>
    </cfRule>
  </conditionalFormatting>
  <conditionalFormatting sqref="M3:O8">
    <cfRule type="expression" priority="22" dxfId="118">
      <formula>AND(ISNUMBER(SEARCH("Premium",M3)),AuditTier="Standard")</formula>
    </cfRule>
    <cfRule type="expression" priority="23" dxfId="117">
      <formula>AND(OR(ISNUMBER(SEARCH("Managed Environments",M3)),ISNUMBER(SEARCH("Managed Environment",M3))),ManagedEnvironmentsEnabled="Not enabled")</formula>
    </cfRule>
    <cfRule type="expression" priority="24" dxfId="116">
      <formula>AND(OR(ISNUMBER(SEARCH("10-year",M3)),ISNUMBER(SEARCH("10yr",M3)),ISNUMBER(SEARCH("10 years",M3)),ISNUMBER(SEARCH("WORM",M3)),ISNUMBER(SEARCH("immutable",M3))),LongTermRetentionAddOn="No")</formula>
    </cfRule>
    <cfRule type="expression" priority="25" dxfId="115">
      <formula>AND(ISNUMBER(SEARCH("if licensed",M3)),TargetGovTier="Baseline")</formula>
    </cfRule>
  </conditionalFormatting>
  <conditionalFormatting sqref="B12:G19">
    <cfRule type="expression" priority="26" dxfId="118">
      <formula>AND(ISNUMBER(SEARCH("Premium",B12)),AuditTier="Standard")</formula>
    </cfRule>
    <cfRule type="expression" priority="27" dxfId="117">
      <formula>AND(OR(ISNUMBER(SEARCH("Managed Environments",B12)),ISNUMBER(SEARCH("Managed Environment",B12))),ManagedEnvironmentsEnabled="Not enabled")</formula>
    </cfRule>
    <cfRule type="expression" priority="28" dxfId="116">
      <formula>AND(OR(ISNUMBER(SEARCH("10-year",B12)),ISNUMBER(SEARCH("10yr",B12)),ISNUMBER(SEARCH("10 years",B12)),ISNUMBER(SEARCH("WORM",B12)),ISNUMBER(SEARCH("immutable",B12))),LongTermRetentionAddOn="No")</formula>
    </cfRule>
    <cfRule type="expression" priority="29" dxfId="115">
      <formula>AND(ISNUMBER(SEARCH("if licensed",B12)),TargetGovTier="Baseline")</formula>
    </cfRule>
  </conditionalFormatting>
  <dataValidations count="1">
    <dataValidation sqref="H3:H8" showDropDown="0" showInputMessage="1" showErrorMessage="1" allowBlank="1" type="list">
      <formula1>"Level 0 - None,Level 1 - Initial,Level 2 - Developing,Level 3 - Defined,Level 4 - Managed"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P118"/>
  <sheetViews>
    <sheetView workbookViewId="0">
      <pane ySplit="1" topLeftCell="A5" activePane="bottomLeft" state="frozen"/>
      <selection pane="bottomLeft" activeCell="A1" sqref="A1:E1"/>
    </sheetView>
  </sheetViews>
  <sheetFormatPr baseColWidth="8" defaultRowHeight="14.45"/>
  <cols>
    <col width="34.28515625" customWidth="1" style="101" min="1" max="1"/>
    <col width="38.140625" customWidth="1" style="64" min="2" max="2"/>
    <col width="19" customWidth="1" style="64" min="3" max="3"/>
    <col width="34.28515625" customWidth="1" style="64" min="4" max="4"/>
    <col width="38.140625" customWidth="1" style="101" min="5" max="6"/>
    <col width="47.5703125" customWidth="1" style="101" min="7" max="7"/>
    <col width="10" bestFit="1" customWidth="1" style="101" min="8" max="8"/>
    <col width="13.7109375" bestFit="1" customWidth="1" style="101" min="9" max="9"/>
    <col width="11.42578125" bestFit="1" customWidth="1" style="101" min="10" max="12"/>
    <col width="76.140625" customWidth="1" style="101" min="13" max="13"/>
  </cols>
  <sheetData>
    <row r="1" ht="18" customHeight="1" s="101">
      <c r="A1" s="140" t="inlineStr">
        <is>
          <t>PILLAR 3: AGENT REPORTING</t>
        </is>
      </c>
    </row>
    <row r="2" ht="18" customHeight="1" s="101">
      <c r="A2" s="5" t="inlineStr">
        <is>
          <t>Control ID</t>
        </is>
      </c>
      <c r="B2" s="5" t="inlineStr">
        <is>
          <t>Control Name</t>
        </is>
      </c>
      <c r="C2" s="5" t="inlineStr">
        <is>
          <t>Primary Regulatory Reference</t>
        </is>
      </c>
      <c r="D2" s="5" t="inlineStr">
        <is>
          <t>Notes</t>
        </is>
      </c>
      <c r="E2" s="5" t="inlineStr">
        <is>
          <t>Current State</t>
        </is>
      </c>
      <c r="F2" s="5" t="inlineStr">
        <is>
          <t>Evidence Location</t>
        </is>
      </c>
      <c r="G2" s="5" t="inlineStr">
        <is>
          <t>Target Date</t>
        </is>
      </c>
      <c r="H2" s="5" t="inlineStr">
        <is>
          <t>Owner</t>
        </is>
      </c>
      <c r="I2" s="5" t="inlineStr">
        <is>
          <t>Gap Priority</t>
        </is>
      </c>
      <c r="J2" s="5" t="inlineStr">
        <is>
          <t>Baseline capability</t>
        </is>
      </c>
      <c r="K2" s="5" t="inlineStr">
        <is>
          <t>Recommended capability</t>
        </is>
      </c>
      <c r="L2" s="5" t="inlineStr">
        <is>
          <t>Regulated/High-risk capability</t>
        </is>
      </c>
      <c r="M2" s="69" t="inlineStr">
        <is>
          <t>Verification Steps</t>
        </is>
      </c>
    </row>
    <row r="3" ht="180" customHeight="1" s="101">
      <c r="A3" s="2" t="inlineStr">
        <is>
          <t>3.1</t>
        </is>
      </c>
      <c r="B3" s="2" t="inlineStr">
        <is>
          <t>Agent Inventory Management</t>
        </is>
      </c>
      <c r="C3" s="2" t="inlineStr">
        <is>
          <t>FINRA 4511, GLBA 501(a)</t>
        </is>
      </c>
      <c r="D3" s="2" t="n"/>
      <c r="E3" s="2" t="n"/>
      <c r="F3" s="2" t="n"/>
      <c r="G3" s="17" t="n"/>
      <c r="H3" s="2" t="n"/>
      <c r="I3" s="2">
        <f>IF(TblReportingControlsList[[#This Row],[Current State]]="","NOT ASSESSED",IF(OR(TblReportingControlsList[[#This Row],[Current State]]="Level 0 - None",TblReportingControlsList[[#This Row],[Current State]]="Level 1 - Initial"),"HIGH",IF(TblReportingControlsList[[#This Row],[Current State]]="Level 2 - Developing","MEDIUM","LOW")))</f>
        <v/>
      </c>
      <c r="J3" s="2" t="inlineStr">
        <is>
          <t>Baseline: Maintain a periodic inventory (monthly) of agents with owner, zone, and data sources.</t>
        </is>
      </c>
      <c r="K3" s="2" t="inlineStr">
        <is>
          <t>Recommended: Weekly automated inventory + change tracking for shared agents and production.</t>
        </is>
      </c>
      <c r="L3" s="2" t="inlineStr">
        <is>
          <t>Regulated/High-risk: Near real-time inventory with drift alerts; daily review for production.</t>
        </is>
      </c>
      <c r="M3" s="99" t="inlineStr">
        <is>
          <t>VERIFICATION STEPS:
1. Go to Power Platform Admin Center → Analytics → Agents (or Copilots)
2. Confirm agent list shows all deployed agents by zone and environment
3. Filter by Zone 3 - should show only production agents with critical functions
4. Export agent inventory (CSV):
   - Check export includes: Agent name, owner, zone, data sources, approval date
5. Compare exported list to your governance registry - should match 100%
EXPECTED RESULT: Agent inventory is complete; can be exported; aligns with governance registry; Zone 3 agents are isolated</t>
        </is>
      </c>
    </row>
    <row r="4" ht="180" customHeight="1" s="101">
      <c r="A4" s="2" t="inlineStr">
        <is>
          <t>3.2</t>
        </is>
      </c>
      <c r="B4" s="2" t="inlineStr">
        <is>
          <t>Monitoring and Health Analytics</t>
        </is>
      </c>
      <c r="C4" s="2" t="inlineStr">
        <is>
          <t>GLBA 501(b), SOX 404</t>
        </is>
      </c>
      <c r="D4" s="2" t="n"/>
      <c r="E4" s="2" t="n"/>
      <c r="F4" s="2" t="n"/>
      <c r="G4" s="17" t="n"/>
      <c r="H4" s="2" t="n"/>
      <c r="I4" s="2">
        <f>IF(TblReportingControlsList[[#This Row],[Current State]]="","NOT ASSESSED",IF(OR(TblReportingControlsList[[#This Row],[Current State]]="Level 0 - None",TblReportingControlsList[[#This Row],[Current State]]="Level 1 - Initial"),"HIGH",IF(TblReportingControlsList[[#This Row],[Current State]]="Level 2 - Developing","MEDIUM","LOW")))</f>
        <v/>
      </c>
      <c r="J4" s="2" t="inlineStr">
        <is>
          <t>Baseline: Manual health checks and incident log; review major failures.</t>
        </is>
      </c>
      <c r="K4" s="2" t="inlineStr">
        <is>
          <t>Recommended: Monitoring dashboards + alert thresholds; weekly trend review.</t>
        </is>
      </c>
      <c r="L4" s="2" t="inlineStr">
        <is>
          <t>Regulated/High-risk: Continuous monitoring with SOC integration and SLA-based response.</t>
        </is>
      </c>
      <c r="M4" s="99" t="inlineStr">
        <is>
          <t>VERIFICATION STEPS:
1. Go to Power Platform Admin Center → Analytics → [Agents/Apps] → Health tab
2. Review health dashboard - should show:
   - Error rate per agent
   - Average response time
   - Connector performance
   - Recent issues/alerts
3. Identify any agent with error rate &gt;5% and confirm incident log exists
4. Check for any agent with no activity for &gt;7 days
5. Verify alerts are configured to notify owner if thresholds are exceeded
EXPECTED RESULT: Health metrics are displayed; issues are identified; alerts are configured; owner notifications are working</t>
        </is>
      </c>
    </row>
    <row r="5" ht="180" customHeight="1" s="101">
      <c r="A5" s="2" t="inlineStr">
        <is>
          <t>3.3</t>
        </is>
      </c>
      <c r="B5" s="2" t="inlineStr">
        <is>
          <t>Security Posture Management Dashboard</t>
        </is>
      </c>
      <c r="C5" s="2" t="inlineStr">
        <is>
          <t>Emerging capability</t>
        </is>
      </c>
      <c r="D5" s="2" t="n"/>
      <c r="E5" s="2" t="n"/>
      <c r="F5" s="2" t="n"/>
      <c r="G5" s="17" t="n"/>
      <c r="H5" s="2" t="n"/>
      <c r="I5" s="2">
        <f>IF(TblReportingControlsList[[#This Row],[Current State]]="","NOT ASSESSED",IF(OR(TblReportingControlsList[[#This Row],[Current State]]="Level 0 - None",TblReportingControlsList[[#This Row],[Current State]]="Level 1 - Initial"),"HIGH",IF(TblReportingControlsList[[#This Row],[Current State]]="Level 2 - Developing","MEDIUM","LOW")))</f>
        <v/>
      </c>
      <c r="J5" s="2" t="inlineStr">
        <is>
          <t>Baseline: Track key security findings in a log; quarterly review.</t>
        </is>
      </c>
      <c r="K5" s="2" t="inlineStr">
        <is>
          <t>Recommended: Central posture dashboard consolidating DLP, audit, and threat signals.</t>
        </is>
      </c>
      <c r="L5" s="2" t="inlineStr">
        <is>
          <t>Regulated/High-risk: Automated posture scoring with executive and audit reporting; continuous controls monitoring.</t>
        </is>
      </c>
      <c r="M5" s="99" t="inlineStr">
        <is>
          <t>VERIFICATION STEPS:
1. Go to Microsoft Purview → Compliance portal → Security posture score
2. Confirm dashboard shows:
   - DLP policy coverage %
   - Audit logging status
   - Runtime protection status
   - Threat detection integration status
3. Review recent findings - at least one should be related to agent governance
4. Confirm dashboard is updated at least weekly
5. Check if executive summary can be exported (for board reporting)
EXPECTED RESULT: Posture dashboard is available; metrics are current; findings are documented; export functionality works</t>
        </is>
      </c>
    </row>
    <row r="6" ht="180" customHeight="1" s="101">
      <c r="A6" s="2" t="inlineStr">
        <is>
          <t>3.4</t>
        </is>
      </c>
      <c r="B6" s="2" t="inlineStr">
        <is>
          <t>Copilot Governance and ROI Dashboard</t>
        </is>
      </c>
      <c r="C6" s="2" t="inlineStr">
        <is>
          <t>Executive reporting</t>
        </is>
      </c>
      <c r="D6" s="2" t="n"/>
      <c r="E6" s="2" t="n"/>
      <c r="F6" s="2" t="n"/>
      <c r="G6" s="17" t="n"/>
      <c r="H6" s="2" t="n"/>
      <c r="I6" s="2">
        <f>IF(TblReportingControlsList[[#This Row],[Current State]]="","NOT ASSESSED",IF(OR(TblReportingControlsList[[#This Row],[Current State]]="Level 0 - None",TblReportingControlsList[[#This Row],[Current State]]="Level 1 - Initial"),"HIGH",IF(TblReportingControlsList[[#This Row],[Current State]]="Level 2 - Developing","MEDIUM","LOW")))</f>
        <v/>
      </c>
      <c r="J6" s="2" t="inlineStr">
        <is>
          <t>Baseline: Quarterly executive summary of adoption, incidents, and compliance status.</t>
        </is>
      </c>
      <c r="K6" s="2" t="inlineStr">
        <is>
          <t>Recommended: Monthly ROI + governance dashboard with trend metrics.</t>
        </is>
      </c>
      <c r="L6" s="2" t="inlineStr">
        <is>
          <t>Regulated/High-risk: Weekly executive reporting for high-risk production agents; board-level metrics where required.</t>
        </is>
      </c>
      <c r="M6" s="99" t="inlineStr">
        <is>
          <t>VERIFICATION STEPS:
1. Go to Power Platform Admin Center → Analytics → Copilot/Agent dashboard
2. Review metrics:
   - Total agents deployed by zone
   - Adoption rate (active users per agent)
   - Compliance status (% agents with required controls)
   - Incident count (security/performance issues)
3. For Zone 3 agents: Verify compliance column shows "100% Compliant" or list any exceptions
4. Confirm executive summary includes month-over-month trend
5. Check that dashboard can be shared with leadership (download option or read-only report link)
EXPECTED RESULT: Dashboard shows all required metrics; Zone 3 agents are highlighted; executive summary is available; sharing works</t>
        </is>
      </c>
    </row>
    <row r="7" ht="18" customHeight="1" s="101">
      <c r="A7" s="128" t="inlineStr">
        <is>
          <t>3.5</t>
        </is>
      </c>
      <c r="B7" s="128" t="inlineStr">
        <is>
          <t>Cost Management and Billing Controls</t>
        </is>
      </c>
      <c r="C7" s="128" t="inlineStr">
        <is>
          <t>SOX 302/404, FINRA 4511</t>
        </is>
      </c>
      <c r="D7" s="128" t="inlineStr">
        <is>
          <t>Power Platform Admin Center cost management for Copilot Studio message consumption. Pay-as-you-go meter monitoring and budget alerts.</t>
        </is>
      </c>
      <c r="E7" s="128" t="inlineStr">
        <is>
          <t>45-60 min</t>
        </is>
      </c>
      <c r="F7" s="128" t="inlineStr">
        <is>
          <t>Configure billing meter (20 min) + Set up alerts (15 min) + Create cost reports (20 min)</t>
        </is>
      </c>
      <c r="G7" s="128" t="inlineStr">
        <is>
          <t>30 min/week</t>
        </is>
      </c>
      <c r="L7" s="128" t="inlineStr">
        <is>
          <t>NOT ASSESSED</t>
        </is>
      </c>
      <c r="M7" s="128" t="inlineStr">
        <is>
          <t>Baseline: Enable pay-as-you-go meter; weekly cost review; basic consumption tracking.</t>
        </is>
      </c>
      <c r="N7" s="128" t="inlineStr">
        <is>
          <t>Recommended: Budget alerts at 75%/90%/100%; department-level cost allocation; monthly cost reports to finance.</t>
        </is>
      </c>
      <c r="O7" s="128" t="inlineStr">
        <is>
          <t>Regulated/High-risk: Real-time cost monitoring; automatic agent throttling at budget limits; executive dashboard integration; quarterly cost audit.</t>
        </is>
      </c>
      <c r="P7" s="128" t="inlineStr">
        <is>
          <t>VERIFICATION STEPS:
1. Go to Power Platform Admin Center → Billing → Pay-as-you-go
2. Verify Copilot Studio meter is enabled
3. Check consumption alerts are configured (75%, 90%, 100%)
4. Review Cost summary → Copilot Studio for current usage
5. Verify cost reports are scheduled to appropriate recipients
EXPECTED RESULT: Billing active; alerts configured; costs visible and tracked</t>
        </is>
      </c>
    </row>
    <row r="8" ht="18" customHeight="1" s="101">
      <c r="A8" s="128" t="inlineStr">
        <is>
          <t>3.6</t>
        </is>
      </c>
      <c r="B8" s="128" t="inlineStr">
        <is>
          <t>Ownerless Agent Management</t>
        </is>
      </c>
      <c r="C8" s="128" t="inlineStr">
        <is>
          <t>SOX 302/404, FINRA 4511, GLBA 501(b)</t>
        </is>
      </c>
      <c r="D8" s="128" t="inlineStr">
        <is>
          <t>Process for identifying and managing agents whose owners have left. Prevents orphaned agents with no accountability.</t>
        </is>
      </c>
      <c r="E8" s="128" t="inlineStr">
        <is>
          <t>1-2 hours</t>
        </is>
      </c>
      <c r="F8" s="128" t="inlineStr">
        <is>
          <t>Configure ownership detection (30 min) + Set up reassignment workflow (45 min) + Document procedures (30 min)</t>
        </is>
      </c>
      <c r="G8" s="128" t="inlineStr">
        <is>
          <t>1 hour/week</t>
        </is>
      </c>
      <c r="L8" s="128" t="inlineStr">
        <is>
          <t>NOT ASSESSED</t>
        </is>
      </c>
      <c r="M8" s="128" t="inlineStr">
        <is>
          <t>Baseline: Weekly report of agents with departed owners; manual reassignment within 30 days.</t>
        </is>
      </c>
      <c r="N8" s="128" t="inlineStr">
        <is>
          <t>Recommended: Automated owner reassignment to manager; 14-day SLA for ownership transfer.</t>
        </is>
      </c>
      <c r="O8" s="128" t="inlineStr">
        <is>
          <t>Regulated: Automatic agent disabling when owner departs; mandatory transfer before departure.</t>
        </is>
      </c>
      <c r="P8" s="128" t="inlineStr">
        <is>
          <t>VERIFICATION STEPS:
1. Go to Power Platform Admin Center → Copilot Studio → Agent inventory
2. Filter by "Owner status" to find ownerless agents
3. Verify reassignment workflow is configured
4. Check ServiceNow/ITSM integration
5. Review SLA compliance
EXPECTED RESULT: Ownerless agents identified; reassignment tracked</t>
        </is>
      </c>
    </row>
    <row r="9" ht="18" customHeight="1" s="101">
      <c r="A9" s="3" t="n"/>
      <c r="B9" s="3" t="n"/>
      <c r="C9" s="3" t="n"/>
      <c r="D9" s="3" t="n"/>
      <c r="E9" s="1" t="n"/>
    </row>
    <row r="10" ht="18" customHeight="1" s="101">
      <c r="A10" s="141" t="inlineStr">
        <is>
          <t>REPORTING FREQUENCY BY ZONE</t>
        </is>
      </c>
    </row>
    <row r="11" ht="18" customHeight="1" s="101">
      <c r="A11" s="5" t="inlineStr">
        <is>
          <t>Reporting Type</t>
        </is>
      </c>
      <c r="B11" s="14" t="inlineStr">
        <is>
          <t>Zone 1</t>
        </is>
      </c>
      <c r="C11" s="15" t="inlineStr">
        <is>
          <t>Zone 2</t>
        </is>
      </c>
      <c r="D11" s="16" t="inlineStr">
        <is>
          <t>Zone 3</t>
        </is>
      </c>
      <c r="E11" s="1" t="n"/>
    </row>
    <row r="12" ht="18" customHeight="1" s="101">
      <c r="A12" s="2" t="inlineStr">
        <is>
          <t>Agent Inventory Review</t>
        </is>
      </c>
      <c r="B12" s="2" t="inlineStr">
        <is>
          <t>Monthly</t>
        </is>
      </c>
      <c r="C12" s="2" t="inlineStr">
        <is>
          <t>Weekly</t>
        </is>
      </c>
      <c r="D12" s="2" t="inlineStr">
        <is>
          <t>Daily</t>
        </is>
      </c>
      <c r="E12" s="1" t="n"/>
    </row>
    <row r="13" ht="18" customHeight="1" s="101">
      <c r="A13" s="2" t="inlineStr">
        <is>
          <t>Health Analytics</t>
        </is>
      </c>
      <c r="B13" s="2" t="inlineStr">
        <is>
          <t>Baseline: Optional manual checks
Recommended: Enabled
Regulated: Enabled + alerts</t>
        </is>
      </c>
      <c r="C13" s="2" t="inlineStr">
        <is>
          <t>Baseline: Manual checks
Recommended: Enabled
Regulated: Enabled + trend review</t>
        </is>
      </c>
      <c r="D13" s="2" t="inlineStr">
        <is>
          <t>Baseline: Enabled
Recommended: Required
Regulated: Continuous monitoring + SOC integration</t>
        </is>
      </c>
      <c r="E13" s="1" t="n"/>
    </row>
    <row r="14" ht="18" customHeight="1" s="101">
      <c r="A14" s="2" t="inlineStr">
        <is>
          <t>Security Posture Scan</t>
        </is>
      </c>
      <c r="B14" s="2" t="inlineStr">
        <is>
          <t>Quarterly</t>
        </is>
      </c>
      <c r="C14" s="2" t="inlineStr">
        <is>
          <t>Monthly</t>
        </is>
      </c>
      <c r="D14" s="2" t="inlineStr">
        <is>
          <t>Monthly</t>
        </is>
      </c>
      <c r="E14" s="1" t="n"/>
    </row>
    <row r="15" ht="18" customHeight="1" s="101">
      <c r="A15" s="2" t="inlineStr">
        <is>
          <t>Executive Dashboard</t>
        </is>
      </c>
      <c r="B15" s="2" t="inlineStr">
        <is>
          <t>Quarterly</t>
        </is>
      </c>
      <c r="C15" s="2" t="inlineStr">
        <is>
          <t>Monthly</t>
        </is>
      </c>
      <c r="D15" s="2" t="inlineStr">
        <is>
          <t>Weekly</t>
        </is>
      </c>
      <c r="E15" s="1" t="n"/>
    </row>
    <row r="16" ht="18" customHeight="1" s="101">
      <c r="A16" s="3" t="inlineStr">
        <is>
          <t>Compliance Audit</t>
        </is>
      </c>
    </row>
    <row r="17" ht="18" customHeight="1" s="101">
      <c r="A17" s="3" t="n"/>
      <c r="B17" s="3" t="n"/>
      <c r="C17" s="3" t="n"/>
      <c r="D17" s="3" t="n"/>
      <c r="E17" s="1" t="n"/>
    </row>
    <row r="18" ht="18" customHeight="1" s="101">
      <c r="A18" s="59" t="inlineStr">
        <is>
          <t>KEY REPORTING METRICS</t>
        </is>
      </c>
    </row>
    <row r="19" ht="18" customHeight="1" s="101">
      <c r="A19" s="5" t="inlineStr">
        <is>
          <t>Metric</t>
        </is>
      </c>
      <c r="B19" s="5" t="inlineStr">
        <is>
          <t>Description</t>
        </is>
      </c>
      <c r="C19" s="5" t="inlineStr">
        <is>
          <t>Frequency</t>
        </is>
      </c>
      <c r="D19" s="5" t="inlineStr">
        <is>
          <t>Notes</t>
        </is>
      </c>
      <c r="E19" s="1" t="n"/>
    </row>
    <row r="20" ht="18" customHeight="1" s="101">
      <c r="A20" s="2" t="inlineStr">
        <is>
          <t>Agent Inventory Count</t>
        </is>
      </c>
      <c r="B20" s="2" t="inlineStr">
        <is>
          <t>Total agents by zone and environment</t>
        </is>
      </c>
      <c r="C20" s="2" t="inlineStr">
        <is>
          <t>Weekly</t>
        </is>
      </c>
      <c r="D20" s="2" t="n"/>
      <c r="E20" s="1" t="n"/>
    </row>
    <row r="21" ht="18" customHeight="1" s="101">
      <c r="A21" s="2" t="inlineStr">
        <is>
          <t>New Agents Created</t>
        </is>
      </c>
      <c r="B21" s="2" t="inlineStr">
        <is>
          <t>New agents created since last review</t>
        </is>
      </c>
      <c r="C21" s="2" t="inlineStr">
        <is>
          <t>Weekly</t>
        </is>
      </c>
      <c r="D21" s="2" t="n"/>
      <c r="E21" s="1" t="n"/>
    </row>
    <row r="22" ht="18" customHeight="1" s="101">
      <c r="A22" s="2" t="inlineStr">
        <is>
          <t>Agents Blocked</t>
        </is>
      </c>
      <c r="B22" s="2" t="inlineStr">
        <is>
          <t>Agents blocked for non-compliance</t>
        </is>
      </c>
      <c r="C22" s="2" t="inlineStr">
        <is>
          <t>Weekly</t>
        </is>
      </c>
      <c r="D22" s="2" t="n"/>
      <c r="E22" s="1" t="n"/>
    </row>
    <row r="23" ht="18" customHeight="1" s="101">
      <c r="A23" s="2" t="inlineStr">
        <is>
          <t>DLP Violations</t>
        </is>
      </c>
      <c r="B23" s="2" t="inlineStr">
        <is>
          <t>Policy violations detected and blocked</t>
        </is>
      </c>
      <c r="C23" s="2" t="inlineStr">
        <is>
          <t>Daily</t>
        </is>
      </c>
      <c r="D23" s="2" t="n"/>
      <c r="E23" s="1" t="n"/>
    </row>
    <row r="24" ht="18" customHeight="1" s="101">
      <c r="A24" s="2" t="inlineStr">
        <is>
          <t>DSPM Incidents</t>
        </is>
      </c>
      <c r="B24" s="2" t="inlineStr">
        <is>
          <t>Sensitive data access incidents</t>
        </is>
      </c>
      <c r="C24" s="2" t="inlineStr">
        <is>
          <t>Real-time alerts</t>
        </is>
      </c>
      <c r="D24" s="2" t="n"/>
      <c r="E24" s="1" t="n"/>
    </row>
    <row r="25" ht="18" customHeight="1" s="101">
      <c r="A25" s="2" t="inlineStr">
        <is>
          <t>Audit Events</t>
        </is>
      </c>
      <c r="B25" s="2" t="inlineStr">
        <is>
          <t>Agent creation, modification, deletion events</t>
        </is>
      </c>
      <c r="C25" s="2" t="inlineStr">
        <is>
          <t>Weekly</t>
        </is>
      </c>
      <c r="D25" s="2" t="n"/>
      <c r="E25" s="1" t="n"/>
    </row>
    <row r="26" ht="15" customHeight="1" s="101">
      <c r="A26" s="2" t="inlineStr">
        <is>
          <t>Security Findings</t>
        </is>
      </c>
      <c r="B26" s="2" t="inlineStr">
        <is>
          <t>Runtime protection threats detected</t>
        </is>
      </c>
      <c r="C26" s="2" t="inlineStr">
        <is>
          <t>Daily</t>
        </is>
      </c>
      <c r="D26" s="2" t="n"/>
      <c r="E26" s="1" t="n"/>
    </row>
    <row r="27" ht="14.45" customHeight="1" s="101">
      <c r="A27" s="2" t="inlineStr">
        <is>
          <t>Remediation Rate</t>
        </is>
      </c>
    </row>
    <row r="28" ht="15" customHeight="1" s="101"/>
    <row r="29" ht="15" customHeight="1" s="101">
      <c r="A29" s="110" t="inlineStr">
        <is>
          <t>DASHBOARD LOCATIONS &amp; SETUP (December 2025)</t>
        </is>
      </c>
    </row>
    <row r="31" ht="15" customHeight="1" s="101">
      <c r="A31" s="110" t="inlineStr">
        <is>
          <t>WHERE TO VIEW AGENT DATA:</t>
        </is>
      </c>
    </row>
    <row r="32" ht="15" customHeight="1" s="101"/>
    <row r="33">
      <c r="A33" s="110" t="inlineStr">
        <is>
          <t>Option 1: Power Platform Admin Center (Recommended)</t>
        </is>
      </c>
    </row>
    <row r="34">
      <c r="A34" t="inlineStr">
        <is>
          <t>URL: https://admin.powerplatform.microsoft.com/</t>
        </is>
      </c>
    </row>
    <row r="35">
      <c r="A35" t="inlineStr">
        <is>
          <t>Path: Analytics → [Agents tab] → Health/Monitoring</t>
        </is>
      </c>
    </row>
    <row r="36" ht="15" customHeight="1" s="101">
      <c r="A36" t="inlineStr">
        <is>
          <t>Frequency: Real-time (5 min updates) | Owner: Compliance Admin</t>
        </is>
      </c>
    </row>
    <row r="38">
      <c r="A38" s="110" t="inlineStr">
        <is>
          <t>Option 2: Microsoft 365 Admin Center</t>
        </is>
      </c>
    </row>
    <row r="39">
      <c r="A39" t="inlineStr">
        <is>
          <t>URL: https://admin.microsoft.com/</t>
        </is>
      </c>
    </row>
    <row r="40">
      <c r="A40" t="inlineStr">
        <is>
          <t>Path: Settings → Integrated Apps</t>
        </is>
      </c>
    </row>
    <row r="41" ht="15" customHeight="1" s="101">
      <c r="A41" t="inlineStr">
        <is>
          <t>Frequency: Daily update | Owner: Inventory management</t>
        </is>
      </c>
    </row>
    <row r="43">
      <c r="A43" s="110" t="inlineStr">
        <is>
          <t>Option 3: Microsoft Purview (Premium)</t>
        </is>
      </c>
    </row>
    <row r="44">
      <c r="A44" t="inlineStr">
        <is>
          <t>URL: https://compliance.microsoft.com/</t>
        </is>
      </c>
    </row>
    <row r="45">
      <c r="A45" t="inlineStr">
        <is>
          <t>Path: Data Loss Prevention, Audit Logs, DSPM for AI</t>
        </is>
      </c>
    </row>
    <row r="46" ht="15" customHeight="1" s="101">
      <c r="A46" t="inlineStr">
        <is>
          <t>Frequency: Real-time for violations | Owner: Compliance Officer</t>
        </is>
      </c>
    </row>
    <row r="48">
      <c r="A48" s="110" t="inlineStr">
        <is>
          <t>Option 4: Microsoft Sentinel (Enterprise)</t>
        </is>
      </c>
    </row>
    <row r="49">
      <c r="A49" t="inlineStr">
        <is>
          <t>URL: https://portal.azure.com/ → Sentinel</t>
        </is>
      </c>
    </row>
    <row r="50" ht="15" customHeight="1" s="101">
      <c r="A50" t="inlineStr">
        <is>
          <t>Frequency: Real-time threat alerts | Owner: SOC</t>
        </is>
      </c>
    </row>
    <row r="52" ht="15" customHeight="1" s="101">
      <c r="A52" s="110" t="inlineStr">
        <is>
          <t>BASIC HEALTH MONITORING SETUP:</t>
        </is>
      </c>
    </row>
    <row r="53">
      <c r="A53" t="inlineStr">
        <is>
          <t>Location: Power Platform Admin Center → Analytics</t>
        </is>
      </c>
    </row>
    <row r="54">
      <c r="A54" s="110" t="inlineStr">
        <is>
          <t>Daily Review (10 minutes):</t>
        </is>
      </c>
    </row>
    <row r="55">
      <c r="A55" t="inlineStr">
        <is>
          <t>□ Error rate &gt; 5% → Escalate to agent owner</t>
        </is>
      </c>
    </row>
    <row r="56">
      <c r="A56" t="inlineStr">
        <is>
          <t>□ Response time &gt; 2 seconds → Performance investigation</t>
        </is>
      </c>
    </row>
    <row r="57" ht="15" customHeight="1" s="101">
      <c r="A57" t="inlineStr">
        <is>
          <t>□ No activity &gt; 7 days → Check if agent needed</t>
        </is>
      </c>
    </row>
    <row r="59">
      <c r="A59" s="110" t="inlineStr">
        <is>
          <t>EXECUTIVE REPORTING:</t>
        </is>
      </c>
    </row>
    <row r="60">
      <c r="A60" t="inlineStr">
        <is>
          <t>Frequency: Monthly (2nd Tuesday)</t>
        </is>
      </c>
    </row>
    <row r="61">
      <c r="A61" t="inlineStr">
        <is>
          <t>Distribution: Compliance Officer → CFO → CEO/Board</t>
        </is>
      </c>
    </row>
    <row r="62" ht="15" customHeight="1" s="101">
      <c r="A62" t="inlineStr">
        <is>
          <t>Metrics: Agent count (by zone), audit logging %, findings remediated,</t>
        </is>
      </c>
    </row>
    <row r="63" ht="14.45" customHeight="1" s="101">
      <c r="A63" t="inlineStr">
        <is>
          <t xml:space="preserve">         compliance maturity score, regulatory status</t>
        </is>
      </c>
    </row>
    <row r="64" ht="15" customHeight="1" s="101"/>
    <row r="65" ht="15" customHeight="1" s="101">
      <c r="A65" s="111" t="inlineStr">
        <is>
          <t>ZONE 3 ALERT THRESHOLDS &amp; ESCALATION SLAs</t>
        </is>
      </c>
    </row>
    <row r="66" ht="15" customHeight="1" s="101">
      <c r="A66" s="112" t="inlineStr">
        <is>
          <t>Red-line escalation triggers for Zone 3 compliance violations - Immediate action required</t>
        </is>
      </c>
    </row>
    <row r="67" ht="15" customHeight="1" s="101"/>
    <row r="68" ht="80.25" customHeight="1" s="101">
      <c r="A68" s="74" t="inlineStr">
        <is>
          <t>Control ID &amp; Name</t>
        </is>
      </c>
      <c r="B68" s="73" t="inlineStr">
        <is>
          <t>Alert Threshold</t>
        </is>
      </c>
      <c r="C68" s="73" t="inlineStr">
        <is>
          <t>Escalation Level</t>
        </is>
      </c>
      <c r="D68" s="73" t="inlineStr">
        <is>
          <t>Notify</t>
        </is>
      </c>
      <c r="E68" s="74" t="inlineStr">
        <is>
          <t>Action</t>
        </is>
      </c>
      <c r="F68" s="74" t="inlineStr">
        <is>
          <t>SLA</t>
        </is>
      </c>
      <c r="G68" s="74" t="inlineStr">
        <is>
          <t>Example Scenario</t>
        </is>
      </c>
    </row>
    <row r="69" ht="80.25" customHeight="1" s="101">
      <c r="A69" s="113" t="inlineStr">
        <is>
          <t>SECURITY CONTROL VIOLATIONS</t>
        </is>
      </c>
    </row>
    <row r="70" ht="80.25" customHeight="1" s="101">
      <c r="A70" s="71" t="inlineStr">
        <is>
          <t>1.5 - DLP Violations</t>
        </is>
      </c>
      <c r="B70" s="71" t="inlineStr">
        <is>
          <t>&gt;10 DLP violations in 24 hours OR &gt;50 violations in 7 days</t>
        </is>
      </c>
      <c r="C70" s="71" t="inlineStr">
        <is>
          <t>IMMEDIATE</t>
        </is>
      </c>
      <c r="D70" s="71" t="inlineStr">
        <is>
          <t>Compliance Officer, Security Administrator, Agent Owner</t>
        </is>
      </c>
      <c r="E70" s="71" t="inlineStr">
        <is>
          <t>Block agent, review all recent activities, initiate incident response</t>
        </is>
      </c>
      <c r="F70" s="71" t="inlineStr">
        <is>
          <t>Investigate within 4 hours; determine if policy is over-aggressive or agent behavior inappropriate</t>
        </is>
      </c>
      <c r="G70" s="71" t="inlineStr">
        <is>
          <t>Agent attempted to email customer data to external email address — 15 violations in 2 hours → Block agent immediately</t>
        </is>
      </c>
    </row>
    <row r="71" ht="80.25" customHeight="1" s="101">
      <c r="A71" s="71" t="inlineStr">
        <is>
          <t>1.6 - DSPM for AI Sensitive Data Access</t>
        </is>
      </c>
    </row>
    <row r="72" ht="80.25" customHeight="1" s="101">
      <c r="A72" s="71" t="inlineStr">
        <is>
          <t>1.1 - Unauthorized Agent Deployment</t>
        </is>
      </c>
      <c r="B72" s="71" t="inlineStr">
        <is>
          <t>Agent created/deployed without approval in Zone 2 or Zone 3 environment</t>
        </is>
      </c>
      <c r="C72" s="71" t="inlineStr">
        <is>
          <t>IMMEDIATE</t>
        </is>
      </c>
      <c r="D72" s="71" t="inlineStr">
        <is>
          <t>Compliance Officer, CISO, Environment Owner</t>
        </is>
      </c>
      <c r="E72" s="71" t="inlineStr">
        <is>
          <t>Block agent from running, investigate creator, check for policy violations</t>
        </is>
      </c>
      <c r="F72" s="71" t="inlineStr">
        <is>
          <t>Complete investigation within 24 hours; document findings in incident log</t>
        </is>
      </c>
      <c r="G72" s="71" t="inlineStr">
        <is>
          <t>Agent published to Zone 3 environment without governance committee approval → Remove from production, require formal review</t>
        </is>
      </c>
    </row>
    <row r="73" ht="80.25" customHeight="1" s="101">
      <c r="A73" s="72" t="inlineStr">
        <is>
          <t>MANAGEMENT CONTROL VIOLATIONS</t>
        </is>
      </c>
      <c r="B73" s="129" t="n"/>
      <c r="C73" s="129" t="n"/>
      <c r="D73" s="129" t="n"/>
      <c r="E73" s="129" t="n"/>
      <c r="F73" s="129" t="n"/>
      <c r="G73" s="130" t="n"/>
    </row>
    <row r="74" ht="80.25" customHeight="1" s="101">
      <c r="A74" s="71" t="inlineStr">
        <is>
          <t>2.4 - Bypassed ALM Pipeline Gate</t>
        </is>
      </c>
      <c r="B74" s="71" t="inlineStr">
        <is>
          <t>Agent deployed to production without passing test approval gate</t>
        </is>
      </c>
      <c r="C74" s="71" t="inlineStr">
        <is>
          <t>HIGH</t>
        </is>
      </c>
      <c r="D74" s="71" t="inlineStr">
        <is>
          <t>Power Platform Administrator, Compliance Officer</t>
        </is>
      </c>
      <c r="E74" s="71" t="inlineStr">
        <is>
          <t>Pause agent execution, review deployment logs, identify who bypassed gate</t>
        </is>
      </c>
      <c r="F74" s="71" t="inlineStr">
        <is>
          <t>Investigate within 1 business day; enforce gate compliance or update testing procedures</t>
        </is>
      </c>
      <c r="G74" s="71" t="inlineStr">
        <is>
          <t>Solution promoted to production without testing approval → Pause agent, require formal re-testing</t>
        </is>
      </c>
    </row>
    <row r="75" ht="80.25" customHeight="1" s="101">
      <c r="A75" s="71" t="inlineStr">
        <is>
          <t>2.3 - Environment Routing Bypass</t>
        </is>
      </c>
    </row>
    <row r="76" ht="80.25" customHeight="1" s="101">
      <c r="A76" s="71" t="inlineStr">
        <is>
          <t>2.1 - Managed Environment Policy Violation</t>
        </is>
      </c>
      <c r="B76" s="71" t="inlineStr">
        <is>
          <t>&gt;5 policy violations in 24 hours (e.g., attempted sharing outside approved groups)</t>
        </is>
      </c>
      <c r="C76" s="71" t="inlineStr">
        <is>
          <t>MEDIUM</t>
        </is>
      </c>
      <c r="D76" s="71" t="inlineStr">
        <is>
          <t>Compliance Officer, Environment Owner</t>
        </is>
      </c>
      <c r="E76" s="71" t="inlineStr">
        <is>
          <t>Document violations, contact maker, provide guidance</t>
        </is>
      </c>
      <c r="F76" s="71" t="inlineStr">
        <is>
          <t>Send guidance email within 8 hours; follow up within 3 days if pattern continues</t>
        </is>
      </c>
      <c r="G76" s="71" t="inlineStr">
        <is>
          <t>Maker attempted to share agent with external users 3 times in 2 hours → Send policy reminder, monitor for escalation</t>
        </is>
      </c>
    </row>
    <row r="77" ht="80.25" customHeight="1" s="101">
      <c r="A77" s="72" t="inlineStr">
        <is>
          <t>REPORTING &amp; MONITORING THRESHOLDS</t>
        </is>
      </c>
      <c r="B77" s="129" t="n"/>
      <c r="C77" s="129" t="n"/>
      <c r="D77" s="129" t="n"/>
      <c r="E77" s="129" t="n"/>
      <c r="F77" s="129" t="n"/>
      <c r="G77" s="130" t="n"/>
    </row>
    <row r="78" ht="80.25" customHeight="1" s="101">
      <c r="A78" s="71" t="inlineStr">
        <is>
          <t>3.1 - Agent Inventory Compliance</t>
        </is>
      </c>
      <c r="B78" s="71" t="inlineStr">
        <is>
          <t>&gt;5 agents without documented approval in Zone 3 OR &gt;10% of agents missing compliance metadata</t>
        </is>
      </c>
      <c r="C78" s="71" t="inlineStr">
        <is>
          <t>MEDIUM</t>
        </is>
      </c>
      <c r="D78" s="71" t="inlineStr">
        <is>
          <t>Compliance Officer, AI Governance Lead</t>
        </is>
      </c>
      <c r="E78" s="71" t="inlineStr">
        <is>
          <t>Audit affected agents, collect missing documentation, update registry</t>
        </is>
      </c>
      <c r="F78" s="71" t="inlineStr">
        <is>
          <t>Achieve 100% compliant agent inventory within 2 weeks</t>
        </is>
      </c>
      <c r="G78" s="71" t="inlineStr">
        <is>
          <t>Quarterly audit finds 7 Zone 3 agents without security testing documentation → Schedule testing, document baseline</t>
        </is>
      </c>
    </row>
    <row r="79">
      <c r="A79" s="71" t="inlineStr">
        <is>
          <t>3.2 - Agent Health/Performance</t>
        </is>
      </c>
      <c r="B79" s="71" t="inlineStr">
        <is>
          <t>Agent error rate &gt;5% OR average response time &gt;2 seconds</t>
        </is>
      </c>
      <c r="C79" s="71" t="inlineStr">
        <is>
          <t>LOW-MEDIUM</t>
        </is>
      </c>
      <c r="D79" s="71" t="inlineStr">
        <is>
          <t>Agent Owner, Technical Support</t>
        </is>
      </c>
      <c r="E79" s="71" t="inlineStr">
        <is>
          <t>Investigate logs, identify root cause, schedule remediation</t>
        </is>
      </c>
      <c r="F79" s="71" t="inlineStr">
        <is>
          <t>Root cause analysis within 2 business days; provide remediation plan</t>
        </is>
      </c>
      <c r="G79" s="71" t="inlineStr">
        <is>
          <t>HR Service Agent returning errors for 8% of requests → Check connector limits, optimize query</t>
        </is>
      </c>
    </row>
    <row r="80" ht="15" customHeight="1" s="101">
      <c r="A80" s="71" t="inlineStr">
        <is>
          <t>3.4 - Executive Metrics Degradation</t>
        </is>
      </c>
      <c r="B80" s="71" t="inlineStr">
        <is>
          <t>Governance maturity score drops &gt;5 points month-over-month OR &gt;2 security findings unresolved after 30 days</t>
        </is>
      </c>
      <c r="C80" s="71" t="inlineStr">
        <is>
          <t>HIGH</t>
        </is>
      </c>
      <c r="D80" s="71" t="inlineStr">
        <is>
          <t>CISO, Compliance Officer, CFO</t>
        </is>
      </c>
      <c r="E80" s="71" t="inlineStr">
        <is>
          <t>Root cause analysis, executive briefing, remediation plan</t>
        </is>
      </c>
      <c r="F80" s="71" t="inlineStr">
        <is>
          <t>Executive summary within 1 week; briefing to leadership within 2 weeks</t>
        </is>
      </c>
      <c r="G80" s="71" t="inlineStr">
        <is>
          <t>Governance score dropped 7 points after agent deployment; audit findings not closed → Escalate to governance committee</t>
        </is>
      </c>
    </row>
    <row r="81" ht="15" customHeight="1" s="101"/>
    <row r="82" ht="15" customHeight="1" s="101">
      <c r="A82" s="109" t="inlineStr">
        <is>
          <t>ESCALATION LEVEL SUMMARY</t>
        </is>
      </c>
    </row>
    <row r="83" ht="15" customHeight="1" s="101">
      <c r="A83" s="77" t="inlineStr">
        <is>
          <t>Escalation Level</t>
        </is>
      </c>
      <c r="B83" s="76" t="inlineStr">
        <is>
          <t>Response Time</t>
        </is>
      </c>
      <c r="C83" s="76" t="inlineStr">
        <is>
          <t>Controls Affected</t>
        </is>
      </c>
    </row>
    <row r="84" ht="15" customHeight="1" s="101">
      <c r="A84" s="79" t="inlineStr">
        <is>
          <t>IMMEDIATE</t>
        </is>
      </c>
      <c r="B84" s="75" t="inlineStr">
        <is>
          <t>Within 15 min - 1 hour</t>
        </is>
      </c>
      <c r="C84" s="75" t="inlineStr">
        <is>
          <t>1.1, 1.5, 1.6</t>
        </is>
      </c>
    </row>
    <row r="85" ht="15" customHeight="1" s="101">
      <c r="A85" s="80" t="inlineStr">
        <is>
          <t>HIGH</t>
        </is>
      </c>
      <c r="B85" s="75" t="inlineStr">
        <is>
          <t>Within 4-8 hours</t>
        </is>
      </c>
      <c r="C85" s="75" t="inlineStr">
        <is>
          <t>2.3, 2.4, 3.4</t>
        </is>
      </c>
    </row>
    <row r="86">
      <c r="A86" s="81" t="inlineStr">
        <is>
          <t>MEDIUM</t>
        </is>
      </c>
      <c r="B86" s="75" t="inlineStr">
        <is>
          <t>Within 8-24 hours</t>
        </is>
      </c>
      <c r="C86" s="75" t="inlineStr">
        <is>
          <t>2.1, 3.1</t>
        </is>
      </c>
    </row>
    <row r="87" ht="15" customHeight="1" s="101">
      <c r="A87" s="82" t="inlineStr">
        <is>
          <t>LOW-MEDIUM</t>
        </is>
      </c>
      <c r="B87" s="75" t="inlineStr">
        <is>
          <t>Within 1-2 business days</t>
        </is>
      </c>
      <c r="C87" s="75" t="n">
        <v>3.2</v>
      </c>
    </row>
    <row r="88" ht="15" customHeight="1" s="101"/>
    <row r="89">
      <c r="A89" s="120" t="inlineStr">
        <is>
          <t>Cross-Reference: See 'Key Contacts' sheet for contact information, backup contacts, and detailed escalation SLA tables.</t>
        </is>
      </c>
    </row>
    <row r="90" ht="15" customHeight="1" s="101">
      <c r="A90" s="89" t="inlineStr">
        <is>
          <t>CRITICAL: For Zone 3 agents, all IMMEDIATE escalations require notification to CISO and Compliance Officer within 1 hour of detection.</t>
        </is>
      </c>
    </row>
    <row r="91" ht="14.45" customHeight="1" s="101"/>
    <row r="92" ht="15" customHeight="1" s="101"/>
    <row r="93" ht="15" customHeight="1" s="101">
      <c r="A93" s="111" t="inlineStr">
        <is>
          <t>ZONE 3 ALERT THRESHOLDS &amp; ESCALATION SLAs</t>
        </is>
      </c>
    </row>
    <row r="94" ht="15" customHeight="1" s="101">
      <c r="A94" s="114" t="inlineStr">
        <is>
          <t>Red-line escalation triggers for Zone 3 compliance violations - December 2025</t>
        </is>
      </c>
    </row>
    <row r="95" ht="14.45" customHeight="1" s="101"/>
    <row r="96" ht="80.25" customHeight="1" s="101">
      <c r="A96" s="74" t="inlineStr">
        <is>
          <t>Control ID &amp; Name</t>
        </is>
      </c>
      <c r="B96" s="73" t="inlineStr">
        <is>
          <t>Alert Threshold</t>
        </is>
      </c>
      <c r="C96" s="73" t="inlineStr">
        <is>
          <t>Escalation Level</t>
        </is>
      </c>
      <c r="D96" s="73" t="inlineStr">
        <is>
          <t>Notify</t>
        </is>
      </c>
      <c r="E96" s="74" t="inlineStr">
        <is>
          <t>Action</t>
        </is>
      </c>
      <c r="F96" s="74" t="inlineStr">
        <is>
          <t>SLA</t>
        </is>
      </c>
      <c r="G96" s="74" t="inlineStr">
        <is>
          <t>Example Scenario</t>
        </is>
      </c>
    </row>
    <row r="97" ht="80.25" customHeight="1" s="101">
      <c r="A97" s="115" t="inlineStr">
        <is>
          <t>SECURITY CONTROL VIOLATIONS (PILLAR 1)</t>
        </is>
      </c>
      <c r="B97" s="129" t="n"/>
      <c r="C97" s="129" t="n"/>
      <c r="D97" s="129" t="n"/>
      <c r="E97" s="129" t="n"/>
      <c r="F97" s="129" t="n"/>
      <c r="G97" s="130" t="n"/>
    </row>
    <row r="98" ht="80.25" customHeight="1" s="101">
      <c r="A98" s="71" t="inlineStr">
        <is>
          <t>1.5 - DLP Violations</t>
        </is>
      </c>
      <c r="B98" s="71" t="inlineStr">
        <is>
          <t>&gt;10 violations in 24 hours OR &gt;50 violations in 7 days</t>
        </is>
      </c>
      <c r="C98" s="90" t="inlineStr">
        <is>
          <t>IMMEDIATE</t>
        </is>
      </c>
      <c r="D98" s="71" t="inlineStr">
        <is>
          <t>Compliance Officer, Security Administrator, Agent Owner</t>
        </is>
      </c>
      <c r="E98" s="71" t="inlineStr">
        <is>
          <t>Block agent, review all recent activities, initiate incident response</t>
        </is>
      </c>
      <c r="F98" s="71" t="inlineStr">
        <is>
          <t>Investigate within 4 hours; determine if policy is over-aggressive or agent behavior inappropriate</t>
        </is>
      </c>
      <c r="G98" s="71" t="inlineStr">
        <is>
          <t>Agent attempted to email customer data to external address — 15 violations in 2 hours → Block agent immediately</t>
        </is>
      </c>
    </row>
    <row r="99" ht="15" customHeight="1" s="101">
      <c r="A99" s="71" t="inlineStr">
        <is>
          <t>1.6 - DSPM for AI (Sensitive Data Access)</t>
        </is>
      </c>
      <c r="B99" s="71" t="inlineStr">
        <is>
          <t>Any unauthorized attempt to access sensitive data (PII, Confidential, Regulatory)</t>
        </is>
      </c>
      <c r="C99" s="90" t="inlineStr">
        <is>
          <t>IMMEDIATE</t>
        </is>
      </c>
      <c r="D99" s="71" t="inlineStr">
        <is>
          <t>CISO, Compliance Officer, General Counsel, Internal Audit</t>
        </is>
      </c>
      <c r="E99" s="71" t="inlineStr">
        <is>
          <t>Quarantine agent, preserve audit logs, notify affected customers if required</t>
        </is>
      </c>
      <c r="F99" s="71" t="inlineStr">
        <is>
          <t>Assess regulatory disclosure requirement within 2 hours (GLBA, HIPAA, SOX)</t>
        </is>
      </c>
      <c r="G99" s="71" t="inlineStr">
        <is>
          <t>Agent accessed customer SSN without business justification — Quarantine immediately, notify Legal</t>
        </is>
      </c>
    </row>
    <row r="100" ht="14.45" customHeight="1" s="101">
      <c r="A100" s="71" t="inlineStr">
        <is>
          <t>1.1 - Unauthorized Agent Deployment</t>
        </is>
      </c>
    </row>
    <row r="101" ht="80.25" customHeight="1" s="101">
      <c r="A101" s="78" t="n"/>
      <c r="B101" s="75" t="n"/>
      <c r="C101" s="75" t="n"/>
      <c r="D101" s="75" t="n"/>
      <c r="E101" s="78" t="n"/>
      <c r="F101" s="78" t="n"/>
      <c r="G101" s="78" t="n"/>
    </row>
    <row r="102" ht="80.25" customHeight="1" s="101">
      <c r="A102" s="116" t="inlineStr">
        <is>
          <t>MANAGEMENT CONTROL VIOLATIONS (PILLAR 2)</t>
        </is>
      </c>
      <c r="B102" s="129" t="n"/>
      <c r="C102" s="129" t="n"/>
      <c r="D102" s="129" t="n"/>
      <c r="E102" s="129" t="n"/>
      <c r="F102" s="129" t="n"/>
      <c r="G102" s="130" t="n"/>
    </row>
    <row r="103" ht="80.25" customHeight="1" s="101">
      <c r="A103" s="71" t="inlineStr">
        <is>
          <t>2.4 - ALM Pipeline (Bypassed Deployment Gate)</t>
        </is>
      </c>
      <c r="B103" s="71" t="inlineStr">
        <is>
          <t>Agent deployed to production without passing test approval gate</t>
        </is>
      </c>
      <c r="C103" s="91" t="inlineStr">
        <is>
          <t>HIGH</t>
        </is>
      </c>
      <c r="D103" s="71" t="inlineStr">
        <is>
          <t>Power Platform Administrator, Compliance Officer</t>
        </is>
      </c>
      <c r="E103" s="71" t="inlineStr">
        <is>
          <t>Pause agent execution, review deployment logs, identify who bypassed gate</t>
        </is>
      </c>
      <c r="F103" s="71" t="inlineStr">
        <is>
          <t>Investigate within 1 business day; enforce gate compliance or update testing procedures</t>
        </is>
      </c>
      <c r="G103" s="71" t="inlineStr">
        <is>
          <t>Solution promoted to production without testing approval → Pause agent, require formal re-testing</t>
        </is>
      </c>
    </row>
    <row r="104" ht="15" customHeight="1" s="101">
      <c r="A104" s="71" t="inlineStr">
        <is>
          <t>2.3 - Environment Routing (Unauthorized Production Access)</t>
        </is>
      </c>
      <c r="B104" s="71" t="inlineStr">
        <is>
          <t>Maker attempts to create agent directly in production (bypassing routing)</t>
        </is>
      </c>
      <c r="C104" s="91" t="inlineStr">
        <is>
          <t>HIGH</t>
        </is>
      </c>
      <c r="D104" s="71" t="inlineStr">
        <is>
          <t>Power Platform Administrator, Security Administrator</t>
        </is>
      </c>
      <c r="E104" s="71" t="inlineStr">
        <is>
          <t>Revert creation, remove maker's production creation permission, provide training</t>
        </is>
      </c>
      <c r="F104" s="71" t="inlineStr">
        <is>
          <t>Contact maker within 8 hours; reinforce routing policy</t>
        </is>
      </c>
      <c r="G104" s="71" t="inlineStr">
        <is>
          <t>Maker bypassed environment routing, created agent directly in production → Revert, restrict permissions, retrain</t>
        </is>
      </c>
    </row>
    <row r="105" ht="14.45" customHeight="1" s="101">
      <c r="A105" s="71" t="inlineStr">
        <is>
          <t>2.1 - Managed Environments (Policy Violation)</t>
        </is>
      </c>
    </row>
    <row r="106" ht="80.25" customHeight="1" s="101">
      <c r="A106" s="78" t="n"/>
      <c r="B106" s="75" t="n"/>
      <c r="C106" s="75" t="n"/>
      <c r="D106" s="75" t="n"/>
      <c r="E106" s="78" t="n"/>
      <c r="F106" s="78" t="n"/>
      <c r="G106" s="78" t="n"/>
    </row>
    <row r="107" ht="80.25" customHeight="1" s="101">
      <c r="A107" s="117" t="inlineStr">
        <is>
          <t>REPORTING &amp; MONITORING THRESHOLDS (PILLAR 3)</t>
        </is>
      </c>
      <c r="B107" s="129" t="n"/>
      <c r="C107" s="129" t="n"/>
      <c r="D107" s="129" t="n"/>
      <c r="E107" s="129" t="n"/>
      <c r="F107" s="129" t="n"/>
      <c r="G107" s="130" t="n"/>
    </row>
    <row r="108" ht="80.25" customHeight="1" s="101">
      <c r="A108" s="71" t="inlineStr">
        <is>
          <t>3.1 - Agent Inventory (Compliance Status)</t>
        </is>
      </c>
      <c r="B108" s="71" t="inlineStr">
        <is>
          <t>&gt;5 agents without documented approval in Zone 3 OR &gt;10% of agents missing compliance metadata</t>
        </is>
      </c>
      <c r="C108" s="92" t="inlineStr">
        <is>
          <t>MEDIUM</t>
        </is>
      </c>
      <c r="D108" s="71" t="inlineStr">
        <is>
          <t>Compliance Officer, AI Governance Lead</t>
        </is>
      </c>
      <c r="E108" s="71" t="inlineStr">
        <is>
          <t>Audit affected agents, collect missing documentation, update registry</t>
        </is>
      </c>
      <c r="F108" s="71" t="inlineStr">
        <is>
          <t>Achieve 100% compliant agent inventory within 2 weeks</t>
        </is>
      </c>
      <c r="G108" s="71" t="inlineStr">
        <is>
          <t>Quarterly audit finds 7 Zone 3 agents without security testing documentation → Schedule testing, document baseline</t>
        </is>
      </c>
    </row>
    <row r="109" ht="15" customHeight="1" s="101">
      <c r="A109" s="71" t="inlineStr">
        <is>
          <t>3.2 - Monitoring &amp; Health (Agent Failure Rate)</t>
        </is>
      </c>
      <c r="B109" s="71" t="inlineStr">
        <is>
          <t>Agent error rate &gt;5% OR average response time &gt;2 seconds</t>
        </is>
      </c>
      <c r="C109" s="93" t="inlineStr">
        <is>
          <t>LOW-MEDIUM</t>
        </is>
      </c>
      <c r="D109" s="71" t="inlineStr">
        <is>
          <t>Agent Owner, Technical Support</t>
        </is>
      </c>
      <c r="E109" s="71" t="inlineStr">
        <is>
          <t>Investigate logs, identify root cause, schedule remediation</t>
        </is>
      </c>
      <c r="F109" s="71" t="inlineStr">
        <is>
          <t>Root cause analysis within 2 business days; provide remediation plan</t>
        </is>
      </c>
      <c r="G109" s="71" t="inlineStr">
        <is>
          <t>HR Service Agent returning errors for 8% of requests → Check connector limits, optimize query</t>
        </is>
      </c>
    </row>
    <row r="110" ht="14.45" customHeight="1" s="101">
      <c r="A110" s="71" t="inlineStr">
        <is>
          <t>3.4 - Executive Dashboard (Board-Level Metrics)</t>
        </is>
      </c>
    </row>
    <row r="111" ht="76.5" customHeight="1" s="101"/>
    <row r="112" ht="60.75" customHeight="1" s="101">
      <c r="A112" s="118" t="inlineStr">
        <is>
          <t>ESCALATION LEVEL LEGEND</t>
        </is>
      </c>
      <c r="B112" s="129" t="n"/>
      <c r="C112" s="129" t="n"/>
      <c r="D112" s="129" t="n"/>
      <c r="E112" s="129" t="n"/>
      <c r="F112" s="129" t="n"/>
      <c r="G112" s="130" t="n"/>
    </row>
    <row r="113" ht="45.75" customHeight="1" s="101">
      <c r="A113" s="79" t="inlineStr">
        <is>
          <t>IMMEDIATE</t>
        </is>
      </c>
      <c r="B113" s="75" t="inlineStr">
        <is>
          <t>Response within 15 min - 1 hour</t>
        </is>
      </c>
      <c r="C113" s="75" t="inlineStr">
        <is>
          <t>Critical security breach, data exposure, unauthorized deployment</t>
        </is>
      </c>
    </row>
    <row r="114" ht="45.75" customHeight="1" s="101">
      <c r="A114" s="94" t="inlineStr">
        <is>
          <t>HIGH</t>
        </is>
      </c>
      <c r="B114" s="75" t="inlineStr">
        <is>
          <t>Response within 4 hours</t>
        </is>
      </c>
      <c r="C114" s="75" t="inlineStr">
        <is>
          <t>Compliance violations, bypassed controls, executive metric degradation</t>
        </is>
      </c>
    </row>
    <row r="115" ht="15" customHeight="1" s="101">
      <c r="A115" s="95" t="inlineStr">
        <is>
          <t>MEDIUM</t>
        </is>
      </c>
      <c r="B115" s="75" t="inlineStr">
        <is>
          <t>Response within 8-24 hours</t>
        </is>
      </c>
      <c r="C115" s="75" t="inlineStr">
        <is>
          <t>Policy violations, inventory gaps, training compliance</t>
        </is>
      </c>
    </row>
    <row r="116" ht="14.45" customHeight="1" s="101">
      <c r="A116" s="96" t="inlineStr">
        <is>
          <t>LOW-MEDIUM</t>
        </is>
      </c>
    </row>
    <row r="117" ht="15" customHeight="1" s="101"/>
    <row r="118">
      <c r="A118" s="120" t="inlineStr">
        <is>
          <t>📌 CROSS-REFERENCE: See 'Key Contacts' sheet for contact directory and full escalation procedures. Align these thresholds with your organization's incident response plan.</t>
        </is>
      </c>
    </row>
  </sheetData>
  <mergeCells count="2">
    <mergeCell ref="A1:E1"/>
    <mergeCell ref="A10:E10"/>
  </mergeCells>
  <conditionalFormatting sqref="E3:E6">
    <cfRule type="containsText" priority="1" operator="containsText" dxfId="39" text="Level 0">
      <formula>NOT(ISERROR(SEARCH("Level 0",E3)))</formula>
    </cfRule>
    <cfRule type="containsText" priority="2" operator="containsText" dxfId="126" text="Level 1">
      <formula>NOT(ISERROR(SEARCH("Level 1",E3)))</formula>
    </cfRule>
    <cfRule type="containsText" priority="3" operator="containsText" dxfId="43" text="Level 2">
      <formula>NOT(ISERROR(SEARCH("Level 2",E3)))</formula>
    </cfRule>
    <cfRule type="containsText" priority="4" operator="containsText" dxfId="46" text="Level 3">
      <formula>NOT(ISERROR(SEARCH("Level 3",E3)))</formula>
    </cfRule>
    <cfRule type="containsText" priority="5" operator="containsText" dxfId="40" text="Level 4">
      <formula>NOT(ISERROR(SEARCH("Level 4",E3)))</formula>
    </cfRule>
  </conditionalFormatting>
  <conditionalFormatting sqref="J3:L6">
    <cfRule type="expression" priority="22" dxfId="118">
      <formula>AND(ISNUMBER(SEARCH("Premium",J3)),AuditTier="Standard")</formula>
    </cfRule>
    <cfRule type="expression" priority="23" dxfId="117">
      <formula>AND(OR(ISNUMBER(SEARCH("Managed Environments",J3)),ISNUMBER(SEARCH("Managed Environment",J3))),ManagedEnvironmentsEnabled="Not enabled")</formula>
    </cfRule>
    <cfRule type="expression" priority="24" dxfId="116">
      <formula>AND(OR(ISNUMBER(SEARCH("10-year",J3)),ISNUMBER(SEARCH("10yr",J3)),ISNUMBER(SEARCH("10 years",J3)),ISNUMBER(SEARCH("WORM",J3)),ISNUMBER(SEARCH("immutable",J3))),LongTermRetentionAddOn="No")</formula>
    </cfRule>
    <cfRule type="expression" priority="25" dxfId="115">
      <formula>AND(ISNUMBER(SEARCH("if licensed",J3)),TargetGovTier="Baseline")</formula>
    </cfRule>
  </conditionalFormatting>
  <conditionalFormatting sqref="B10:D13">
    <cfRule type="expression" priority="26" dxfId="118">
      <formula>AND(ISNUMBER(SEARCH("Premium",B10)),AuditTier="Standard")</formula>
    </cfRule>
    <cfRule type="expression" priority="27" dxfId="117">
      <formula>AND(OR(ISNUMBER(SEARCH("Managed Environments",B10)),ISNUMBER(SEARCH("Managed Environment",B10))),ManagedEnvironmentsEnabled="Not enabled")</formula>
    </cfRule>
    <cfRule type="expression" priority="28" dxfId="116">
      <formula>AND(OR(ISNUMBER(SEARCH("10-year",B10)),ISNUMBER(SEARCH("10yr",B10)),ISNUMBER(SEARCH("10 years",B10)),ISNUMBER(SEARCH("WORM",B10)),ISNUMBER(SEARCH("immutable",B10))),LongTermRetentionAddOn="No")</formula>
    </cfRule>
    <cfRule type="expression" priority="29" dxfId="115">
      <formula>AND(ISNUMBER(SEARCH("if licensed",B10)),TargetGovTier="Baseline")</formula>
    </cfRule>
  </conditionalFormatting>
  <conditionalFormatting sqref="C68:C70">
    <cfRule type="containsText" priority="30" operator="containsText" dxfId="114" text="IMMEDIATE">
      <formula>NOT(ISERROR(SEARCH("IMMEDIATE",C68)))</formula>
    </cfRule>
  </conditionalFormatting>
  <conditionalFormatting sqref="C72:C78">
    <cfRule type="containsText" priority="31" operator="containsText" dxfId="113" text="HIGH">
      <formula>NOT(ISERROR(SEARCH("HIGH",C72)))</formula>
    </cfRule>
    <cfRule type="containsText" priority="32" operator="containsText" dxfId="112" text="MEDIUM">
      <formula>NOT(ISERROR(SEARCH("MEDIUM",C72)))</formula>
    </cfRule>
  </conditionalFormatting>
  <dataValidations count="1">
    <dataValidation sqref="E3:E6" showDropDown="0" showInputMessage="1" showErrorMessage="1" allowBlank="1" type="list">
      <formula1>"Level 0 - None,Level 1 - Initial,Level 2 - Developing,Level 3 - Defined,Level 4 - Managed"</formula1>
    </dataValidation>
  </dataValidation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4.45"/>
  <cols>
    <col width="38.140625" customWidth="1" style="101" min="1" max="1"/>
    <col width="16.140625" customWidth="1" style="101" min="2" max="11"/>
  </cols>
  <sheetData>
    <row r="1" ht="35.25" customHeight="1" s="101">
      <c r="A1" s="107" t="inlineStr">
        <is>
          <t>RACI MATRIX - GOVERNANCE RESPONSIBILITIES</t>
        </is>
      </c>
    </row>
    <row r="2">
      <c r="A2" s="121" t="inlineStr">
        <is>
          <t>R = Responsible (does the work) | A = Accountable (final authority) | C = Consulted (provides input) | I = Informed (kept updated)</t>
        </is>
      </c>
    </row>
    <row r="4" ht="24.75" customHeight="1" s="101">
      <c r="A4" s="122" t="inlineStr">
        <is>
          <t>SECURITY CONTROLS (PILLAR 1)</t>
        </is>
      </c>
    </row>
    <row r="5" ht="35.25" customHeight="1" s="101">
      <c r="A5" s="32" t="inlineStr">
        <is>
          <t>Control</t>
        </is>
      </c>
      <c r="B5" s="32" t="inlineStr">
        <is>
          <t>Power Platform Admin</t>
        </is>
      </c>
      <c r="C5" s="32" t="inlineStr">
        <is>
          <t>AI Administrator</t>
        </is>
      </c>
      <c r="D5" s="32" t="inlineStr">
        <is>
          <t>Compliance Admin</t>
        </is>
      </c>
      <c r="E5" s="32" t="inlineStr">
        <is>
          <t>Security Admin</t>
        </is>
      </c>
      <c r="F5" s="32" t="inlineStr">
        <is>
          <t>SharePoint Admin</t>
        </is>
      </c>
      <c r="G5" s="32" t="inlineStr">
        <is>
          <t>CISO</t>
        </is>
      </c>
      <c r="H5" s="32" t="inlineStr">
        <is>
          <t>Compliance Officer</t>
        </is>
      </c>
      <c r="I5" s="32" t="inlineStr">
        <is>
          <t>Legal</t>
        </is>
      </c>
      <c r="J5" s="32" t="inlineStr">
        <is>
          <t>Internal Audit</t>
        </is>
      </c>
      <c r="K5" s="32" t="inlineStr">
        <is>
          <t>Agent Makers</t>
        </is>
      </c>
    </row>
    <row r="6">
      <c r="A6" t="inlineStr">
        <is>
          <t>Agent Publishing Restriction</t>
        </is>
      </c>
      <c r="B6" s="63" t="inlineStr">
        <is>
          <t>R</t>
        </is>
      </c>
      <c r="C6" s="63" t="inlineStr">
        <is>
          <t>C</t>
        </is>
      </c>
      <c r="D6" s="63" t="inlineStr">
        <is>
          <t>C</t>
        </is>
      </c>
      <c r="E6" s="63" t="inlineStr">
        <is>
          <t>C</t>
        </is>
      </c>
      <c r="F6" s="63" t="n"/>
      <c r="G6" s="63" t="inlineStr">
        <is>
          <t>A</t>
        </is>
      </c>
      <c r="H6" s="63" t="inlineStr">
        <is>
          <t>C</t>
        </is>
      </c>
      <c r="I6" s="63" t="inlineStr">
        <is>
          <t>C</t>
        </is>
      </c>
      <c r="J6" s="63" t="inlineStr">
        <is>
          <t>I</t>
        </is>
      </c>
      <c r="K6" s="63" t="inlineStr">
        <is>
          <t>I</t>
        </is>
      </c>
    </row>
    <row r="7">
      <c r="A7" t="inlineStr">
        <is>
          <t>Agent Registry Management</t>
        </is>
      </c>
      <c r="B7" s="63" t="inlineStr">
        <is>
          <t>R</t>
        </is>
      </c>
      <c r="C7" s="63" t="inlineStr">
        <is>
          <t>R</t>
        </is>
      </c>
      <c r="D7" s="63" t="inlineStr">
        <is>
          <t>C</t>
        </is>
      </c>
      <c r="E7" s="63" t="inlineStr">
        <is>
          <t>I</t>
        </is>
      </c>
      <c r="F7" s="63" t="n"/>
      <c r="G7" s="63" t="inlineStr">
        <is>
          <t>A</t>
        </is>
      </c>
      <c r="H7" s="63" t="inlineStr">
        <is>
          <t>I</t>
        </is>
      </c>
      <c r="I7" s="63" t="inlineStr">
        <is>
          <t>I</t>
        </is>
      </c>
      <c r="J7" s="63" t="inlineStr">
        <is>
          <t>C</t>
        </is>
      </c>
      <c r="K7" s="63" t="inlineStr">
        <is>
          <t>I</t>
        </is>
      </c>
    </row>
    <row r="8">
      <c r="A8" t="inlineStr">
        <is>
          <t>SharePoint Content Governance</t>
        </is>
      </c>
      <c r="B8" s="63" t="inlineStr">
        <is>
          <t>C</t>
        </is>
      </c>
      <c r="C8" s="63" t="n"/>
      <c r="D8" s="63" t="inlineStr">
        <is>
          <t>C</t>
        </is>
      </c>
      <c r="E8" s="63" t="inlineStr">
        <is>
          <t>C</t>
        </is>
      </c>
      <c r="F8" s="63" t="inlineStr">
        <is>
          <t>R</t>
        </is>
      </c>
      <c r="G8" s="63" t="inlineStr">
        <is>
          <t>A</t>
        </is>
      </c>
      <c r="H8" s="63" t="inlineStr">
        <is>
          <t>C</t>
        </is>
      </c>
      <c r="I8" s="63" t="n"/>
      <c r="J8" s="63" t="inlineStr">
        <is>
          <t>I</t>
        </is>
      </c>
      <c r="K8" s="63" t="inlineStr">
        <is>
          <t>I</t>
        </is>
      </c>
    </row>
    <row r="9">
      <c r="A9" t="inlineStr">
        <is>
          <t>Advanced Connector Policies</t>
        </is>
      </c>
      <c r="B9" s="63" t="inlineStr">
        <is>
          <t>R</t>
        </is>
      </c>
      <c r="C9" s="63" t="inlineStr">
        <is>
          <t>C</t>
        </is>
      </c>
      <c r="D9" s="63" t="inlineStr">
        <is>
          <t>R</t>
        </is>
      </c>
      <c r="E9" s="63" t="inlineStr">
        <is>
          <t>C</t>
        </is>
      </c>
      <c r="F9" s="63" t="n"/>
      <c r="G9" s="63" t="inlineStr">
        <is>
          <t>A</t>
        </is>
      </c>
      <c r="H9" s="63" t="inlineStr">
        <is>
          <t>C</t>
        </is>
      </c>
      <c r="I9" s="63" t="n"/>
      <c r="J9" s="63" t="inlineStr">
        <is>
          <t>I</t>
        </is>
      </c>
      <c r="K9" s="63" t="inlineStr">
        <is>
          <t>I</t>
        </is>
      </c>
    </row>
    <row r="10">
      <c r="A10" t="inlineStr">
        <is>
          <t>DLP &amp; Sensitivity Labels</t>
        </is>
      </c>
      <c r="B10" s="63" t="inlineStr">
        <is>
          <t>C</t>
        </is>
      </c>
      <c r="C10" s="63" t="inlineStr">
        <is>
          <t>C</t>
        </is>
      </c>
      <c r="D10" s="63" t="inlineStr">
        <is>
          <t>R</t>
        </is>
      </c>
      <c r="E10" s="63" t="inlineStr">
        <is>
          <t>C</t>
        </is>
      </c>
      <c r="F10" s="63" t="n"/>
      <c r="G10" s="63" t="inlineStr">
        <is>
          <t>A</t>
        </is>
      </c>
      <c r="H10" s="63" t="inlineStr">
        <is>
          <t>A</t>
        </is>
      </c>
      <c r="I10" s="63" t="inlineStr">
        <is>
          <t>C</t>
        </is>
      </c>
      <c r="J10" s="63" t="inlineStr">
        <is>
          <t>C</t>
        </is>
      </c>
      <c r="K10" s="63" t="inlineStr">
        <is>
          <t>I</t>
        </is>
      </c>
    </row>
    <row r="11">
      <c r="A11" t="inlineStr">
        <is>
          <t>DSPM for AI</t>
        </is>
      </c>
      <c r="B11" s="63" t="inlineStr">
        <is>
          <t>C</t>
        </is>
      </c>
      <c r="C11" s="63" t="inlineStr">
        <is>
          <t>R</t>
        </is>
      </c>
      <c r="D11" s="63" t="inlineStr">
        <is>
          <t>R</t>
        </is>
      </c>
      <c r="E11" s="63" t="inlineStr">
        <is>
          <t>C</t>
        </is>
      </c>
      <c r="F11" s="63" t="n"/>
      <c r="G11" s="63" t="inlineStr">
        <is>
          <t>A</t>
        </is>
      </c>
      <c r="H11" s="63" t="inlineStr">
        <is>
          <t>A</t>
        </is>
      </c>
      <c r="I11" s="63" t="inlineStr">
        <is>
          <t>C</t>
        </is>
      </c>
      <c r="J11" s="63" t="inlineStr">
        <is>
          <t>C</t>
        </is>
      </c>
      <c r="K11" s="63" t="inlineStr">
        <is>
          <t>I</t>
        </is>
      </c>
    </row>
    <row r="12">
      <c r="A12" t="inlineStr">
        <is>
          <t>Audit Logging &amp; Compliance</t>
        </is>
      </c>
      <c r="B12" s="63" t="inlineStr">
        <is>
          <t>R</t>
        </is>
      </c>
      <c r="C12" s="63" t="inlineStr">
        <is>
          <t>C</t>
        </is>
      </c>
      <c r="D12" s="63" t="inlineStr">
        <is>
          <t>R</t>
        </is>
      </c>
      <c r="E12" s="63" t="inlineStr">
        <is>
          <t>C</t>
        </is>
      </c>
      <c r="F12" s="63" t="n"/>
      <c r="G12" s="63" t="inlineStr">
        <is>
          <t>A</t>
        </is>
      </c>
      <c r="H12" s="63" t="inlineStr">
        <is>
          <t>A</t>
        </is>
      </c>
      <c r="I12" s="63" t="inlineStr">
        <is>
          <t>C</t>
        </is>
      </c>
      <c r="J12" s="63" t="inlineStr">
        <is>
          <t>R</t>
        </is>
      </c>
      <c r="K12" s="63" t="inlineStr">
        <is>
          <t>I</t>
        </is>
      </c>
    </row>
    <row r="13">
      <c r="A13" t="inlineStr">
        <is>
          <t>Runtime Protection</t>
        </is>
      </c>
      <c r="B13" s="63" t="inlineStr">
        <is>
          <t>C</t>
        </is>
      </c>
      <c r="C13" s="63" t="inlineStr">
        <is>
          <t>C</t>
        </is>
      </c>
      <c r="D13" s="63" t="inlineStr">
        <is>
          <t>C</t>
        </is>
      </c>
      <c r="E13" s="63" t="inlineStr">
        <is>
          <t>R</t>
        </is>
      </c>
      <c r="F13" s="63" t="n"/>
      <c r="G13" s="63" t="inlineStr">
        <is>
          <t>A</t>
        </is>
      </c>
      <c r="H13" s="63" t="inlineStr">
        <is>
          <t>I</t>
        </is>
      </c>
      <c r="I13" s="63" t="n"/>
      <c r="J13" s="63" t="inlineStr">
        <is>
          <t>I</t>
        </is>
      </c>
      <c r="K13" s="63" t="inlineStr">
        <is>
          <t>I</t>
        </is>
      </c>
    </row>
    <row r="14">
      <c r="B14" s="63" t="n"/>
      <c r="C14" s="63" t="n"/>
      <c r="D14" s="63" t="n"/>
      <c r="E14" s="63" t="n"/>
      <c r="F14" s="63" t="n"/>
      <c r="G14" s="63" t="n"/>
      <c r="H14" s="63" t="n"/>
      <c r="I14" s="63" t="n"/>
      <c r="J14" s="63" t="n"/>
      <c r="K14" s="63" t="n"/>
    </row>
    <row r="15" ht="24.75" customHeight="1" s="101">
      <c r="A15" s="123" t="inlineStr">
        <is>
          <t>MANAGEMENT CONTROLS (PILLAR 2)</t>
        </is>
      </c>
    </row>
    <row r="16" ht="28.9" customHeight="1" s="101">
      <c r="A16" s="32" t="inlineStr">
        <is>
          <t>Control</t>
        </is>
      </c>
      <c r="B16" s="35" t="inlineStr">
        <is>
          <t>Power Platform Admin</t>
        </is>
      </c>
      <c r="C16" s="35" t="inlineStr">
        <is>
          <t>AI Administrator</t>
        </is>
      </c>
      <c r="D16" s="35" t="inlineStr">
        <is>
          <t>Compliance Admin</t>
        </is>
      </c>
      <c r="E16" s="35" t="inlineStr">
        <is>
          <t>Security Admin</t>
        </is>
      </c>
      <c r="F16" s="35" t="inlineStr">
        <is>
          <t>SharePoint Admin</t>
        </is>
      </c>
      <c r="G16" s="35" t="inlineStr">
        <is>
          <t>CISO</t>
        </is>
      </c>
      <c r="H16" s="35" t="inlineStr">
        <is>
          <t>Compliance Officer</t>
        </is>
      </c>
      <c r="I16" s="35" t="inlineStr">
        <is>
          <t>Legal</t>
        </is>
      </c>
      <c r="J16" s="35" t="inlineStr">
        <is>
          <t>Internal Audit</t>
        </is>
      </c>
      <c r="K16" s="35" t="inlineStr">
        <is>
          <t>Agent Makers</t>
        </is>
      </c>
    </row>
    <row r="17">
      <c r="A17" t="inlineStr">
        <is>
          <t>Managed Environments</t>
        </is>
      </c>
      <c r="B17" s="63" t="inlineStr">
        <is>
          <t>R</t>
        </is>
      </c>
      <c r="C17" s="63" t="inlineStr">
        <is>
          <t>C</t>
        </is>
      </c>
      <c r="D17" s="63" t="inlineStr">
        <is>
          <t>C</t>
        </is>
      </c>
      <c r="E17" s="63" t="inlineStr">
        <is>
          <t>C</t>
        </is>
      </c>
      <c r="F17" s="63" t="n"/>
      <c r="G17" s="63" t="inlineStr">
        <is>
          <t>A</t>
        </is>
      </c>
      <c r="H17" s="63" t="inlineStr">
        <is>
          <t>I</t>
        </is>
      </c>
      <c r="I17" s="63" t="n"/>
      <c r="J17" s="63" t="inlineStr">
        <is>
          <t>I</t>
        </is>
      </c>
      <c r="K17" s="63" t="inlineStr">
        <is>
          <t>I</t>
        </is>
      </c>
    </row>
    <row r="18">
      <c r="A18" t="inlineStr">
        <is>
          <t>Environment Groups &amp; Locked Rules</t>
        </is>
      </c>
      <c r="B18" s="63" t="inlineStr">
        <is>
          <t>R</t>
        </is>
      </c>
      <c r="C18" s="63" t="inlineStr">
        <is>
          <t>C</t>
        </is>
      </c>
      <c r="D18" s="63" t="inlineStr">
        <is>
          <t>C</t>
        </is>
      </c>
      <c r="E18" s="63" t="inlineStr">
        <is>
          <t>C</t>
        </is>
      </c>
      <c r="F18" s="63" t="n"/>
      <c r="G18" s="63" t="inlineStr">
        <is>
          <t>A</t>
        </is>
      </c>
      <c r="H18" s="63" t="inlineStr">
        <is>
          <t>C</t>
        </is>
      </c>
      <c r="I18" s="63" t="n"/>
      <c r="J18" s="63" t="inlineStr">
        <is>
          <t>I</t>
        </is>
      </c>
      <c r="K18" s="63" t="inlineStr">
        <is>
          <t>I</t>
        </is>
      </c>
    </row>
    <row r="19">
      <c r="A19" t="inlineStr">
        <is>
          <t>Environment Routing</t>
        </is>
      </c>
      <c r="B19" s="63" t="inlineStr">
        <is>
          <t>R</t>
        </is>
      </c>
      <c r="C19" s="63" t="inlineStr">
        <is>
          <t>C</t>
        </is>
      </c>
      <c r="D19" s="63" t="n"/>
      <c r="E19" s="63" t="n"/>
      <c r="F19" s="63" t="n"/>
      <c r="G19" s="63" t="inlineStr">
        <is>
          <t>A</t>
        </is>
      </c>
      <c r="H19" s="63" t="inlineStr">
        <is>
          <t>I</t>
        </is>
      </c>
      <c r="I19" s="63" t="n"/>
      <c r="J19" s="63" t="inlineStr">
        <is>
          <t>I</t>
        </is>
      </c>
      <c r="K19" s="63" t="inlineStr">
        <is>
          <t>I</t>
        </is>
      </c>
    </row>
    <row r="20">
      <c r="A20" t="inlineStr">
        <is>
          <t>ALM with Pipelines</t>
        </is>
      </c>
      <c r="B20" s="63" t="inlineStr">
        <is>
          <t>R</t>
        </is>
      </c>
      <c r="C20" s="63" t="inlineStr">
        <is>
          <t>C</t>
        </is>
      </c>
      <c r="D20" s="63" t="inlineStr">
        <is>
          <t>C</t>
        </is>
      </c>
      <c r="E20" s="63" t="inlineStr">
        <is>
          <t>C</t>
        </is>
      </c>
      <c r="F20" s="63" t="n"/>
      <c r="G20" s="63" t="inlineStr">
        <is>
          <t>A</t>
        </is>
      </c>
      <c r="H20" s="63" t="inlineStr">
        <is>
          <t>C</t>
        </is>
      </c>
      <c r="I20" s="63" t="n"/>
      <c r="J20" s="63" t="inlineStr">
        <is>
          <t>C</t>
        </is>
      </c>
      <c r="K20" s="63" t="inlineStr">
        <is>
          <t>C</t>
        </is>
      </c>
    </row>
    <row r="21">
      <c r="A21" t="inlineStr">
        <is>
          <t>Block Unmanaged Customizations</t>
        </is>
      </c>
      <c r="B21" s="63" t="inlineStr">
        <is>
          <t>R</t>
        </is>
      </c>
      <c r="C21" s="63" t="inlineStr">
        <is>
          <t>C</t>
        </is>
      </c>
      <c r="D21" s="63" t="inlineStr">
        <is>
          <t>C</t>
        </is>
      </c>
      <c r="E21" s="63" t="inlineStr">
        <is>
          <t>C</t>
        </is>
      </c>
      <c r="F21" s="63" t="n"/>
      <c r="G21" s="63" t="inlineStr">
        <is>
          <t>A</t>
        </is>
      </c>
      <c r="H21" s="63" t="inlineStr">
        <is>
          <t>C</t>
        </is>
      </c>
      <c r="I21" s="63" t="n"/>
      <c r="J21" s="63" t="inlineStr">
        <is>
          <t>I</t>
        </is>
      </c>
      <c r="K21" s="63" t="inlineStr">
        <is>
          <t>I</t>
        </is>
      </c>
    </row>
    <row r="22">
      <c r="A22" t="inlineStr">
        <is>
          <t>Maker Welcome Content &amp; Training</t>
        </is>
      </c>
      <c r="B22" s="63" t="inlineStr">
        <is>
          <t>R</t>
        </is>
      </c>
      <c r="C22" s="63" t="inlineStr">
        <is>
          <t>C</t>
        </is>
      </c>
      <c r="D22" s="63" t="inlineStr">
        <is>
          <t>R</t>
        </is>
      </c>
      <c r="E22" s="63" t="n"/>
      <c r="F22" s="63" t="n"/>
      <c r="G22" s="63" t="inlineStr">
        <is>
          <t>I</t>
        </is>
      </c>
      <c r="H22" s="63" t="inlineStr">
        <is>
          <t>A</t>
        </is>
      </c>
      <c r="I22" s="63" t="inlineStr">
        <is>
          <t>C</t>
        </is>
      </c>
      <c r="J22" s="63" t="inlineStr">
        <is>
          <t>I</t>
        </is>
      </c>
      <c r="K22" s="63" t="inlineStr">
        <is>
          <t>I</t>
        </is>
      </c>
    </row>
    <row r="23">
      <c r="B23" s="63" t="n"/>
      <c r="C23" s="63" t="n"/>
      <c r="D23" s="63" t="n"/>
      <c r="E23" s="63" t="n"/>
      <c r="F23" s="63" t="n"/>
      <c r="G23" s="63" t="n"/>
      <c r="H23" s="63" t="n"/>
      <c r="I23" s="63" t="n"/>
      <c r="J23" s="63" t="n"/>
      <c r="K23" s="63" t="n"/>
    </row>
    <row r="24" ht="24.75" customHeight="1" s="101">
      <c r="A24" s="123" t="inlineStr">
        <is>
          <t>AGENT REPORTING (PILLAR 3)</t>
        </is>
      </c>
    </row>
    <row r="25" ht="28.9" customHeight="1" s="101">
      <c r="A25" s="32" t="inlineStr">
        <is>
          <t>Control</t>
        </is>
      </c>
      <c r="B25" s="35" t="inlineStr">
        <is>
          <t>Power Platform Admin</t>
        </is>
      </c>
      <c r="C25" s="35" t="inlineStr">
        <is>
          <t>AI Administrator</t>
        </is>
      </c>
      <c r="D25" s="35" t="inlineStr">
        <is>
          <t>Compliance Admin</t>
        </is>
      </c>
      <c r="E25" s="35" t="inlineStr">
        <is>
          <t>Security Admin</t>
        </is>
      </c>
      <c r="F25" s="35" t="inlineStr">
        <is>
          <t>SharePoint Admin</t>
        </is>
      </c>
      <c r="G25" s="35" t="inlineStr">
        <is>
          <t>CISO</t>
        </is>
      </c>
      <c r="H25" s="35" t="inlineStr">
        <is>
          <t>Compliance Officer</t>
        </is>
      </c>
      <c r="I25" s="35" t="inlineStr">
        <is>
          <t>Legal</t>
        </is>
      </c>
      <c r="J25" s="35" t="inlineStr">
        <is>
          <t>Internal Audit</t>
        </is>
      </c>
      <c r="K25" s="35" t="inlineStr">
        <is>
          <t>Agent Makers</t>
        </is>
      </c>
    </row>
    <row r="26">
      <c r="A26" t="inlineStr">
        <is>
          <t>Agent Inventory Management</t>
        </is>
      </c>
      <c r="B26" s="63" t="inlineStr">
        <is>
          <t>R</t>
        </is>
      </c>
      <c r="C26" s="63" t="inlineStr">
        <is>
          <t>R</t>
        </is>
      </c>
      <c r="D26" s="63" t="inlineStr">
        <is>
          <t>C</t>
        </is>
      </c>
      <c r="E26" s="63" t="inlineStr">
        <is>
          <t>I</t>
        </is>
      </c>
      <c r="F26" s="63" t="n"/>
      <c r="G26" s="63" t="inlineStr">
        <is>
          <t>A</t>
        </is>
      </c>
      <c r="H26" s="63" t="inlineStr">
        <is>
          <t>C</t>
        </is>
      </c>
      <c r="I26" s="63" t="n"/>
      <c r="J26" s="63" t="inlineStr">
        <is>
          <t>C</t>
        </is>
      </c>
      <c r="K26" s="63" t="inlineStr">
        <is>
          <t>I</t>
        </is>
      </c>
    </row>
    <row r="27">
      <c r="A27" t="inlineStr">
        <is>
          <t>Monitoring &amp; Health Analytics</t>
        </is>
      </c>
      <c r="B27" s="63" t="inlineStr">
        <is>
          <t>R</t>
        </is>
      </c>
      <c r="C27" s="63" t="inlineStr">
        <is>
          <t>R</t>
        </is>
      </c>
      <c r="D27" s="63" t="inlineStr">
        <is>
          <t>C</t>
        </is>
      </c>
      <c r="E27" s="63" t="inlineStr">
        <is>
          <t>C</t>
        </is>
      </c>
      <c r="F27" s="63" t="n"/>
      <c r="G27" s="63" t="inlineStr">
        <is>
          <t>A</t>
        </is>
      </c>
      <c r="H27" s="63" t="inlineStr">
        <is>
          <t>I</t>
        </is>
      </c>
      <c r="I27" s="63" t="n"/>
      <c r="J27" s="63" t="inlineStr">
        <is>
          <t>I</t>
        </is>
      </c>
      <c r="K27" s="63" t="inlineStr">
        <is>
          <t>I</t>
        </is>
      </c>
    </row>
    <row r="28">
      <c r="A28" t="inlineStr">
        <is>
          <t>Security Posture Dashboard</t>
        </is>
      </c>
      <c r="B28" s="63" t="inlineStr">
        <is>
          <t>C</t>
        </is>
      </c>
      <c r="C28" s="63" t="inlineStr">
        <is>
          <t>R</t>
        </is>
      </c>
      <c r="D28" s="63" t="inlineStr">
        <is>
          <t>C</t>
        </is>
      </c>
      <c r="E28" s="63" t="inlineStr">
        <is>
          <t>R</t>
        </is>
      </c>
      <c r="F28" s="63" t="n"/>
      <c r="G28" s="63" t="inlineStr">
        <is>
          <t>A</t>
        </is>
      </c>
      <c r="H28" s="63" t="inlineStr">
        <is>
          <t>C</t>
        </is>
      </c>
      <c r="I28" s="63" t="n"/>
      <c r="J28" s="63" t="inlineStr">
        <is>
          <t>C</t>
        </is>
      </c>
      <c r="K28" s="63" t="inlineStr">
        <is>
          <t>I</t>
        </is>
      </c>
    </row>
    <row r="29">
      <c r="A29" t="inlineStr">
        <is>
          <t>Copilot Governance Dashboard</t>
        </is>
      </c>
      <c r="B29" s="63" t="inlineStr">
        <is>
          <t>R</t>
        </is>
      </c>
      <c r="C29" s="63" t="inlineStr">
        <is>
          <t>R</t>
        </is>
      </c>
      <c r="D29" s="63" t="inlineStr">
        <is>
          <t>C</t>
        </is>
      </c>
      <c r="E29" s="63" t="n"/>
      <c r="F29" s="63" t="n"/>
      <c r="G29" s="63" t="inlineStr">
        <is>
          <t>A</t>
        </is>
      </c>
      <c r="H29" s="63" t="inlineStr">
        <is>
          <t>I</t>
        </is>
      </c>
      <c r="I29" s="63" t="n"/>
      <c r="J29" s="63" t="inlineStr">
        <is>
          <t>I</t>
        </is>
      </c>
      <c r="K29" s="63" t="inlineStr">
        <is>
          <t>I</t>
        </is>
      </c>
    </row>
  </sheetData>
  <mergeCells count="5">
    <mergeCell ref="A4:K4"/>
    <mergeCell ref="A15:K15"/>
    <mergeCell ref="A24:K24"/>
    <mergeCell ref="A2:K2"/>
    <mergeCell ref="A1:K1"/>
  </mergeCells>
  <conditionalFormatting sqref="B6:K13">
    <cfRule type="containsText" priority="1" operator="containsText" dxfId="76" text="R">
      <formula>NOT(ISERROR(SEARCH("R",B6)))</formula>
    </cfRule>
    <cfRule type="containsText" priority="2" operator="containsText" dxfId="75" text="A">
      <formula>NOT(ISERROR(SEARCH("A",B6)))</formula>
    </cfRule>
    <cfRule type="containsText" priority="3" operator="containsText" dxfId="35" text="C">
      <formula>NOT(ISERROR(SEARCH("C",B6)))</formula>
    </cfRule>
    <cfRule type="containsText" priority="4" operator="containsText" dxfId="73" text="I">
      <formula>NOT(ISERROR(SEARCH("I",B6)))</formula>
    </cfRule>
  </conditionalFormatting>
  <conditionalFormatting sqref="B17:K22">
    <cfRule type="containsText" priority="5" operator="containsText" dxfId="76" text="R">
      <formula>NOT(ISERROR(SEARCH("R",B17)))</formula>
    </cfRule>
    <cfRule type="containsText" priority="6" operator="containsText" dxfId="75" text="A">
      <formula>NOT(ISERROR(SEARCH("A",B17)))</formula>
    </cfRule>
    <cfRule type="containsText" priority="7" operator="containsText" dxfId="35" text="C">
      <formula>NOT(ISERROR(SEARCH("C",B17)))</formula>
    </cfRule>
    <cfRule type="containsText" priority="8" operator="containsText" dxfId="73" text="I">
      <formula>NOT(ISERROR(SEARCH("I",B17)))</formula>
    </cfRule>
  </conditionalFormatting>
  <conditionalFormatting sqref="B26:K29">
    <cfRule type="containsText" priority="9" operator="containsText" dxfId="76" text="R">
      <formula>NOT(ISERROR(SEARCH("R",B26)))</formula>
    </cfRule>
    <cfRule type="containsText" priority="10" operator="containsText" dxfId="75" text="A">
      <formula>NOT(ISERROR(SEARCH("A",B26)))</formula>
    </cfRule>
    <cfRule type="containsText" priority="11" operator="containsText" dxfId="35" text="C">
      <formula>NOT(ISERROR(SEARCH("C",B26)))</formula>
    </cfRule>
    <cfRule type="containsText" priority="12" operator="containsText" dxfId="73" text="I">
      <formula>NOT(ISERROR(SEARCH("I",B26)))</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80"/>
  <sheetViews>
    <sheetView topLeftCell="A26" workbookViewId="0">
      <selection activeCell="A1" sqref="A1:G1"/>
    </sheetView>
  </sheetViews>
  <sheetFormatPr baseColWidth="8" defaultRowHeight="14.45"/>
  <cols>
    <col width="34.28515625" customWidth="1" style="101" min="1" max="1"/>
    <col width="24.7109375" customWidth="1" style="101" min="2" max="2"/>
    <col width="13.28515625" customWidth="1" style="101" min="3" max="3"/>
    <col width="53.28515625" customWidth="1" style="101" min="4" max="4"/>
    <col width="22.85546875" customWidth="1" style="101" min="5" max="5"/>
    <col width="28.5703125" customWidth="1" style="101" min="6" max="6"/>
    <col width="19" customWidth="1" style="101" min="7" max="7"/>
  </cols>
  <sheetData>
    <row r="1" ht="35.25" customHeight="1" s="101">
      <c r="A1" s="107" t="inlineStr">
        <is>
          <t>OPERATIONAL RUNBOOKS</t>
        </is>
      </c>
    </row>
    <row r="2">
      <c r="A2" s="108" t="inlineStr">
        <is>
          <t>Standard operating procedures for Microsoft 365 Agent governance</t>
        </is>
      </c>
    </row>
    <row r="4" ht="24.75" customHeight="1" s="101">
      <c r="A4" s="124" t="inlineStr">
        <is>
          <t>DAILY TASKS</t>
        </is>
      </c>
    </row>
    <row r="5">
      <c r="A5" s="36" t="inlineStr">
        <is>
          <t>Task</t>
        </is>
      </c>
      <c r="B5" s="36" t="inlineStr">
        <is>
          <t>Responsible Role</t>
        </is>
      </c>
      <c r="C5" s="36" t="inlineStr">
        <is>
          <t>Duration</t>
        </is>
      </c>
      <c r="D5" s="36" t="inlineStr">
        <is>
          <t>Procedure</t>
        </is>
      </c>
      <c r="E5" s="36" t="inlineStr">
        <is>
          <t>Output</t>
        </is>
      </c>
      <c r="F5" s="36" t="inlineStr">
        <is>
          <t>Escalation Trigger</t>
        </is>
      </c>
      <c r="G5" s="36" t="inlineStr">
        <is>
          <t>Documentation</t>
        </is>
      </c>
    </row>
    <row r="6" ht="45" customHeight="1" s="101">
      <c r="A6" t="inlineStr">
        <is>
          <t>Review DSPM alerts</t>
        </is>
      </c>
      <c r="B6" t="inlineStr">
        <is>
          <t>AI Administrator</t>
        </is>
      </c>
      <c r="C6" t="inlineStr">
        <is>
          <t>15 min</t>
        </is>
      </c>
      <c r="D6" s="64" t="inlineStr">
        <is>
          <t>Check Microsoft Purview for AI-related security alerts. Investigate any HIGH severity items.</t>
        </is>
      </c>
      <c r="E6" t="inlineStr">
        <is>
          <t>Alert summary log</t>
        </is>
      </c>
      <c r="F6" t="inlineStr">
        <is>
          <t>Any HIGH severity alert</t>
        </is>
      </c>
      <c r="G6" t="inlineStr">
        <is>
          <t>Incident log</t>
        </is>
      </c>
    </row>
    <row r="7" ht="45" customHeight="1" s="101">
      <c r="A7" t="inlineStr">
        <is>
          <t>Monitor runtime protection</t>
        </is>
      </c>
      <c r="B7" t="inlineStr">
        <is>
          <t>Security Admin</t>
        </is>
      </c>
      <c r="C7" t="inlineStr">
        <is>
          <t>10 min</t>
        </is>
      </c>
      <c r="D7" s="64" t="inlineStr">
        <is>
          <t>Review runtime protection dashboard for blocked threats or anomalies.</t>
        </is>
      </c>
      <c r="E7" t="inlineStr">
        <is>
          <t>Threat report</t>
        </is>
      </c>
      <c r="F7" t="inlineStr">
        <is>
          <t>Multiple blocked attacks</t>
        </is>
      </c>
      <c r="G7" t="inlineStr">
        <is>
          <t>Security log</t>
        </is>
      </c>
    </row>
    <row r="8" ht="45" customHeight="1" s="101">
      <c r="A8" t="inlineStr">
        <is>
          <t>Check Zone 3 agent inventory</t>
        </is>
      </c>
      <c r="B8" t="inlineStr">
        <is>
          <t>Power Platform Admin</t>
        </is>
      </c>
      <c r="C8" t="inlineStr">
        <is>
          <t>10 min</t>
        </is>
      </c>
      <c r="D8" s="64" t="inlineStr">
        <is>
          <t>Verify no unauthorized agents created in production environments.</t>
        </is>
      </c>
      <c r="E8" t="inlineStr">
        <is>
          <t>Inventory snapshot</t>
        </is>
      </c>
      <c r="F8" t="inlineStr">
        <is>
          <t>New unauthorized agent</t>
        </is>
      </c>
      <c r="G8" t="inlineStr">
        <is>
          <t>Admin log</t>
        </is>
      </c>
    </row>
    <row r="9">
      <c r="D9" s="64" t="n"/>
    </row>
    <row r="10" ht="24.75" customHeight="1" s="101">
      <c r="A10" s="113" t="inlineStr">
        <is>
          <t>WEEKLY TASKS</t>
        </is>
      </c>
    </row>
    <row r="11">
      <c r="A11" s="37" t="inlineStr">
        <is>
          <t>Task</t>
        </is>
      </c>
      <c r="B11" s="37" t="inlineStr">
        <is>
          <t>Responsible Role</t>
        </is>
      </c>
      <c r="C11" s="37" t="inlineStr">
        <is>
          <t>Duration</t>
        </is>
      </c>
      <c r="D11" s="39" t="inlineStr">
        <is>
          <t>Procedure</t>
        </is>
      </c>
      <c r="E11" s="37" t="inlineStr">
        <is>
          <t>Output</t>
        </is>
      </c>
      <c r="F11" s="37" t="inlineStr">
        <is>
          <t>Escalation Trigger</t>
        </is>
      </c>
      <c r="G11" s="37" t="inlineStr">
        <is>
          <t>Documentation</t>
        </is>
      </c>
    </row>
    <row r="12" ht="45" customHeight="1" s="101">
      <c r="A12" t="inlineStr">
        <is>
          <t>Full agent inventory review</t>
        </is>
      </c>
      <c r="B12" t="inlineStr">
        <is>
          <t>AI Administrator</t>
        </is>
      </c>
      <c r="C12" t="inlineStr">
        <is>
          <t>30 min</t>
        </is>
      </c>
      <c r="D12" s="64" t="inlineStr">
        <is>
          <t>Export complete agent list from Admin Center. Compare to previous week. Identify new/modified agents.</t>
        </is>
      </c>
      <c r="E12" t="inlineStr">
        <is>
          <t>Weekly inventory report</t>
        </is>
      </c>
      <c r="F12" t="inlineStr">
        <is>
          <t>Unexpected agent growth &gt;10%</t>
        </is>
      </c>
      <c r="G12" t="inlineStr">
        <is>
          <t>Inventory report</t>
        </is>
      </c>
    </row>
    <row r="13" ht="45" customHeight="1" s="101">
      <c r="A13" t="inlineStr">
        <is>
          <t>DLP policy effectiveness review</t>
        </is>
      </c>
      <c r="B13" t="inlineStr">
        <is>
          <t>Compliance Admin</t>
        </is>
      </c>
      <c r="C13" t="inlineStr">
        <is>
          <t>30 min</t>
        </is>
      </c>
      <c r="D13" s="64" t="inlineStr">
        <is>
          <t>Review DLP policy hits and false positives. Adjust policies as needed.</t>
        </is>
      </c>
      <c r="E13" t="inlineStr">
        <is>
          <t>DLP summary report</t>
        </is>
      </c>
      <c r="F13" t="inlineStr">
        <is>
          <t>Policy bypass attempts</t>
        </is>
      </c>
      <c r="G13" t="inlineStr">
        <is>
          <t>Compliance log</t>
        </is>
      </c>
    </row>
    <row r="14" ht="45" customHeight="1" s="101">
      <c r="A14" t="inlineStr">
        <is>
          <t>Review Zone 2 agent registry</t>
        </is>
      </c>
      <c r="B14" t="inlineStr">
        <is>
          <t>Power Platform Admin</t>
        </is>
      </c>
      <c r="C14" t="inlineStr">
        <is>
          <t>20 min</t>
        </is>
      </c>
      <c r="D14" s="64" t="inlineStr">
        <is>
          <t>Validate all Zone 2 agents have proper approvals and documentation.</t>
        </is>
      </c>
      <c r="E14" t="inlineStr">
        <is>
          <t>Registry audit report</t>
        </is>
      </c>
      <c r="F14" t="inlineStr">
        <is>
          <t>Missing approvals</t>
        </is>
      </c>
      <c r="G14" t="inlineStr">
        <is>
          <t>Registry log</t>
        </is>
      </c>
    </row>
    <row r="15" ht="45" customHeight="1" s="101">
      <c r="A15" t="inlineStr">
        <is>
          <t>Audit log review</t>
        </is>
      </c>
      <c r="B15" t="inlineStr">
        <is>
          <t>Compliance Admin</t>
        </is>
      </c>
      <c r="C15" t="inlineStr">
        <is>
          <t>45 min</t>
        </is>
      </c>
      <c r="D15" s="64" t="inlineStr">
        <is>
          <t>Review audit logs for suspicious activities, bulk operations, or policy violations.</t>
        </is>
      </c>
      <c r="E15" t="inlineStr">
        <is>
          <t>Audit summary</t>
        </is>
      </c>
      <c r="F15" t="inlineStr">
        <is>
          <t>Anomalous patterns</t>
        </is>
      </c>
      <c r="G15" t="inlineStr">
        <is>
          <t>Audit report</t>
        </is>
      </c>
    </row>
    <row r="16" ht="45" customHeight="1" s="101">
      <c r="A16" t="inlineStr">
        <is>
          <t>Update governance dashboard</t>
        </is>
      </c>
      <c r="B16" t="inlineStr">
        <is>
          <t>AI Administrator</t>
        </is>
      </c>
      <c r="C16" t="inlineStr">
        <is>
          <t>15 min</t>
        </is>
      </c>
      <c r="D16" s="64" t="inlineStr">
        <is>
          <t>Refresh dashboard data and update this assessment workbook.</t>
        </is>
      </c>
      <c r="E16" t="inlineStr">
        <is>
          <t>Updated dashboard</t>
        </is>
      </c>
      <c r="F16" t="inlineStr">
        <is>
          <t>Maturity regression</t>
        </is>
      </c>
      <c r="G16" t="inlineStr">
        <is>
          <t>Dashboard export</t>
        </is>
      </c>
    </row>
    <row r="17">
      <c r="D17" s="64" t="n"/>
    </row>
    <row r="18" ht="24.75" customHeight="1" s="101">
      <c r="A18" s="125" t="inlineStr">
        <is>
          <t>MONTHLY TASKS</t>
        </is>
      </c>
    </row>
    <row r="19">
      <c r="A19" s="38" t="inlineStr">
        <is>
          <t>Task</t>
        </is>
      </c>
      <c r="B19" s="38" t="inlineStr">
        <is>
          <t>Responsible Role</t>
        </is>
      </c>
      <c r="C19" s="38" t="inlineStr">
        <is>
          <t>Duration</t>
        </is>
      </c>
      <c r="D19" s="40" t="inlineStr">
        <is>
          <t>Procedure</t>
        </is>
      </c>
      <c r="E19" s="38" t="inlineStr">
        <is>
          <t>Output</t>
        </is>
      </c>
      <c r="F19" s="38" t="inlineStr">
        <is>
          <t>Escalation Trigger</t>
        </is>
      </c>
      <c r="G19" s="38" t="inlineStr">
        <is>
          <t>Documentation</t>
        </is>
      </c>
    </row>
    <row r="20" ht="45" customHeight="1" s="101">
      <c r="A20" t="inlineStr">
        <is>
          <t>Governance maturity assessment</t>
        </is>
      </c>
      <c r="B20" t="inlineStr">
        <is>
          <t>Compliance Officer</t>
        </is>
      </c>
      <c r="C20" t="inlineStr">
        <is>
          <t>2 hrs</t>
        </is>
      </c>
      <c r="D20" s="64" t="inlineStr">
        <is>
          <t>Review all controls in this workbook. Update Current State assessments.</t>
        </is>
      </c>
      <c r="E20" t="inlineStr">
        <is>
          <t>Maturity scorecard</t>
        </is>
      </c>
      <c r="F20" t="inlineStr">
        <is>
          <t>Score decrease &gt;0.5</t>
        </is>
      </c>
      <c r="G20" t="inlineStr">
        <is>
          <t>Assessment report</t>
        </is>
      </c>
    </row>
    <row r="21" ht="45" customHeight="1" s="101">
      <c r="A21" t="inlineStr">
        <is>
          <t>Security posture scan</t>
        </is>
      </c>
      <c r="B21" t="inlineStr">
        <is>
          <t>Security Admin</t>
        </is>
      </c>
      <c r="C21" t="inlineStr">
        <is>
          <t>1 hr</t>
        </is>
      </c>
      <c r="D21" s="64" t="inlineStr">
        <is>
          <t>Run comprehensive security scan on all agent environments.</t>
        </is>
      </c>
      <c r="E21" t="inlineStr">
        <is>
          <t>Security report</t>
        </is>
      </c>
      <c r="F21" t="inlineStr">
        <is>
          <t>New critical findings</t>
        </is>
      </c>
      <c r="G21" t="inlineStr">
        <is>
          <t>Security scan log</t>
        </is>
      </c>
    </row>
    <row r="22" ht="45" customHeight="1" s="101">
      <c r="A22" t="inlineStr">
        <is>
          <t>Connector policy review</t>
        </is>
      </c>
      <c r="B22" t="inlineStr">
        <is>
          <t>Power Platform Admin</t>
        </is>
      </c>
      <c r="C22" t="inlineStr">
        <is>
          <t>1 hr</t>
        </is>
      </c>
      <c r="D22" s="64" t="inlineStr">
        <is>
          <t>Review Advanced Connector Policies. Update blocked/allowed actions based on new connectors.</t>
        </is>
      </c>
      <c r="E22" t="inlineStr">
        <is>
          <t>Policy update log</t>
        </is>
      </c>
      <c r="F22" t="inlineStr">
        <is>
          <t>New high-risk connectors</t>
        </is>
      </c>
      <c r="G22" t="inlineStr">
        <is>
          <t>Policy log</t>
        </is>
      </c>
    </row>
    <row r="23" ht="45" customHeight="1" s="101">
      <c r="A23" t="inlineStr">
        <is>
          <t>Executive reporting</t>
        </is>
      </c>
      <c r="B23" t="inlineStr">
        <is>
          <t>AI Governance Lead</t>
        </is>
      </c>
      <c r="C23" t="inlineStr">
        <is>
          <t>2 hrs</t>
        </is>
      </c>
      <c r="D23" s="64" t="inlineStr">
        <is>
          <t>Prepare executive summary of agent governance posture, risks, and recommendations.</t>
        </is>
      </c>
      <c r="E23" t="inlineStr">
        <is>
          <t>Executive brief</t>
        </is>
      </c>
      <c r="F23" t="inlineStr">
        <is>
          <t>Significant risk increase</t>
        </is>
      </c>
      <c r="G23" t="inlineStr">
        <is>
          <t>Monthly report</t>
        </is>
      </c>
    </row>
    <row r="24" ht="45" customHeight="1" s="101">
      <c r="A24" t="inlineStr">
        <is>
          <t>Training compliance check</t>
        </is>
      </c>
      <c r="B24" t="inlineStr">
        <is>
          <t>Compliance Admin</t>
        </is>
      </c>
      <c r="C24" t="inlineStr">
        <is>
          <t>30 min</t>
        </is>
      </c>
      <c r="D24" s="64" t="inlineStr">
        <is>
          <t>Verify all agent makers have completed required governance training.</t>
        </is>
      </c>
      <c r="E24" t="inlineStr">
        <is>
          <t>Training report</t>
        </is>
      </c>
      <c r="F24" t="inlineStr">
        <is>
          <t>Compliance &lt;90%</t>
        </is>
      </c>
      <c r="G24" t="inlineStr">
        <is>
          <t>Training log</t>
        </is>
      </c>
    </row>
    <row r="25">
      <c r="D25" s="64" t="n"/>
    </row>
    <row r="26" ht="24.75" customHeight="1" s="101">
      <c r="A26" s="126" t="inlineStr">
        <is>
          <t>QUARTERLY TASKS</t>
        </is>
      </c>
    </row>
    <row r="27">
      <c r="A27" s="22" t="inlineStr">
        <is>
          <t>Task</t>
        </is>
      </c>
      <c r="B27" s="22" t="inlineStr">
        <is>
          <t>Responsible Role</t>
        </is>
      </c>
      <c r="C27" s="22" t="inlineStr">
        <is>
          <t>Duration</t>
        </is>
      </c>
      <c r="D27" s="41" t="inlineStr">
        <is>
          <t>Procedure</t>
        </is>
      </c>
      <c r="E27" s="22" t="inlineStr">
        <is>
          <t>Output</t>
        </is>
      </c>
      <c r="F27" s="22" t="inlineStr">
        <is>
          <t>Escalation Trigger</t>
        </is>
      </c>
      <c r="G27" s="22" t="inlineStr">
        <is>
          <t>Documentation</t>
        </is>
      </c>
    </row>
    <row r="28" ht="45" customHeight="1" s="101">
      <c r="A28" t="inlineStr">
        <is>
          <t>Role assignment review</t>
        </is>
      </c>
      <c r="B28" t="inlineStr">
        <is>
          <t>CISO</t>
        </is>
      </c>
      <c r="C28" t="inlineStr">
        <is>
          <t>2 hrs</t>
        </is>
      </c>
      <c r="D28" s="64" t="inlineStr">
        <is>
          <t>Review all administrative role assignments. Remove unnecessary access. Update RACI matrix.</t>
        </is>
      </c>
      <c r="E28" t="inlineStr">
        <is>
          <t>Role audit report</t>
        </is>
      </c>
      <c r="F28" t="inlineStr">
        <is>
          <t>Excessive permissions found</t>
        </is>
      </c>
      <c r="G28" t="inlineStr">
        <is>
          <t>Access review</t>
        </is>
      </c>
    </row>
    <row r="29" ht="45" customHeight="1" s="101">
      <c r="A29" t="inlineStr">
        <is>
          <t>Framework update review</t>
        </is>
      </c>
      <c r="B29" t="inlineStr">
        <is>
          <t>AI Governance Lead</t>
        </is>
      </c>
      <c r="C29" t="inlineStr">
        <is>
          <t>3 hrs</t>
        </is>
      </c>
      <c r="D29" s="64" t="inlineStr">
        <is>
          <t>Review Microsoft updates, regulatory changes. Update framework as needed.</t>
        </is>
      </c>
      <c r="E29" t="inlineStr">
        <is>
          <t>Updated framework</t>
        </is>
      </c>
      <c r="F29" t="inlineStr">
        <is>
          <t>Major regulatory change</t>
        </is>
      </c>
      <c r="G29" t="inlineStr">
        <is>
          <t>Change log</t>
        </is>
      </c>
    </row>
    <row r="30" ht="45" customHeight="1" s="101">
      <c r="A30" s="142" t="inlineStr">
        <is>
          <t>PHASE 1/2/3 DAILY OPERATIONS</t>
        </is>
      </c>
      <c r="F30" t="inlineStr">
        <is>
          <t>Recovery failure</t>
        </is>
      </c>
      <c r="G30" t="inlineStr">
        <is>
          <t>DR log</t>
        </is>
      </c>
    </row>
    <row r="31" ht="45" customHeight="1" s="101">
      <c r="A31" s="143" t="inlineStr">
        <is>
          <t>Task</t>
        </is>
      </c>
      <c r="B31" s="143" t="inlineStr">
        <is>
          <t>Control Reference</t>
        </is>
      </c>
      <c r="C31" s="143" t="inlineStr">
        <is>
          <t>Responsible Role</t>
        </is>
      </c>
      <c r="D31" s="144" t="inlineStr">
        <is>
          <t>Duration</t>
        </is>
      </c>
      <c r="E31" s="143" t="inlineStr">
        <is>
          <t>Frequency</t>
        </is>
      </c>
      <c r="F31" t="inlineStr">
        <is>
          <t>Unauthorized integration</t>
        </is>
      </c>
      <c r="G31" t="inlineStr">
        <is>
          <t>Audit report</t>
        </is>
      </c>
    </row>
    <row r="32" ht="45" customHeight="1" s="101">
      <c r="A32" s="128" t="inlineStr">
        <is>
          <t>Review Insider Risk for AI alerts</t>
        </is>
      </c>
      <c r="B32" s="128" t="inlineStr">
        <is>
          <t>1.12</t>
        </is>
      </c>
      <c r="C32" s="128" t="inlineStr">
        <is>
          <t>Security Admin</t>
        </is>
      </c>
      <c r="D32" s="145" t="inlineStr">
        <is>
          <t>15 min</t>
        </is>
      </c>
      <c r="E32" s="128" t="inlineStr">
        <is>
          <t>Daily</t>
        </is>
      </c>
      <c r="F32" t="inlineStr">
        <is>
          <t>Policy rejection</t>
        </is>
      </c>
      <c r="G32" t="inlineStr">
        <is>
          <t>Meeting minutes</t>
        </is>
      </c>
    </row>
    <row r="33">
      <c r="A33" s="128" t="inlineStr">
        <is>
          <t>Monitor authentication failures</t>
        </is>
      </c>
      <c r="B33" s="128" t="inlineStr">
        <is>
          <t>1.11, 2.13</t>
        </is>
      </c>
      <c r="C33" s="128" t="inlineStr">
        <is>
          <t>Security Admin</t>
        </is>
      </c>
      <c r="D33" s="128" t="inlineStr">
        <is>
          <t>10 min</t>
        </is>
      </c>
      <c r="E33" s="128" t="inlineStr">
        <is>
          <t>Daily</t>
        </is>
      </c>
    </row>
    <row r="34">
      <c r="A34" s="128" t="inlineStr">
        <is>
          <t>Check Communication Compliance queue</t>
        </is>
      </c>
      <c r="B34" s="128" t="inlineStr">
        <is>
          <t>1.10</t>
        </is>
      </c>
      <c r="C34" s="128" t="inlineStr">
        <is>
          <t>Compliance Admin</t>
        </is>
      </c>
      <c r="D34" s="128" t="inlineStr">
        <is>
          <t>20 min</t>
        </is>
      </c>
      <c r="E34" s="128" t="inlineStr">
        <is>
          <t>Daily</t>
        </is>
      </c>
    </row>
    <row r="35">
      <c r="A35" s="128" t="inlineStr">
        <is>
          <t>Review Zone 3 agent activity</t>
        </is>
      </c>
      <c r="B35" s="128" t="inlineStr">
        <is>
          <t>1.18</t>
        </is>
      </c>
      <c r="C35" s="128" t="inlineStr">
        <is>
          <t>AI Administrator</t>
        </is>
      </c>
      <c r="D35" s="128" t="inlineStr">
        <is>
          <t>15 min</t>
        </is>
      </c>
      <c r="E35" s="128" t="inlineStr">
        <is>
          <t>Daily</t>
        </is>
      </c>
    </row>
    <row r="36">
      <c r="A36" s="128" t="inlineStr">
        <is>
          <t>Monitor Copilot cost consumption</t>
        </is>
      </c>
      <c r="B36" s="128" t="inlineStr">
        <is>
          <t>3.5</t>
        </is>
      </c>
      <c r="C36" s="128" t="inlineStr">
        <is>
          <t>Finance/IT Admin</t>
        </is>
      </c>
      <c r="D36" s="128" t="inlineStr">
        <is>
          <t>5 min</t>
        </is>
      </c>
      <c r="E36" s="128" t="inlineStr">
        <is>
          <t>Daily</t>
        </is>
      </c>
    </row>
    <row r="37">
      <c r="A37" s="128" t="inlineStr">
        <is>
          <t>Check ownerless agent alerts</t>
        </is>
      </c>
      <c r="B37" s="128" t="inlineStr">
        <is>
          <t>3.6</t>
        </is>
      </c>
      <c r="C37" s="128" t="inlineStr">
        <is>
          <t>Power Platform Admin</t>
        </is>
      </c>
      <c r="D37" s="128" t="inlineStr">
        <is>
          <t>10 min</t>
        </is>
      </c>
      <c r="E37" s="128" t="inlineStr">
        <is>
          <t>Daily</t>
        </is>
      </c>
    </row>
    <row r="40">
      <c r="A40" s="142" t="inlineStr">
        <is>
          <t>PHASE 1/2/3 WEEKLY OPERATIONS</t>
        </is>
      </c>
    </row>
    <row r="41">
      <c r="A41" s="143" t="inlineStr">
        <is>
          <t>Task</t>
        </is>
      </c>
      <c r="B41" s="143" t="inlineStr">
        <is>
          <t>Control Reference</t>
        </is>
      </c>
      <c r="C41" s="143" t="inlineStr">
        <is>
          <t>Responsible Role</t>
        </is>
      </c>
      <c r="D41" s="143" t="inlineStr">
        <is>
          <t>Duration</t>
        </is>
      </c>
      <c r="E41" s="143" t="inlineStr">
        <is>
          <t>Frequency</t>
        </is>
      </c>
    </row>
    <row r="42">
      <c r="A42" s="128" t="inlineStr">
        <is>
          <t>Review oversharing assessment results</t>
        </is>
      </c>
      <c r="B42" s="128" t="inlineStr">
        <is>
          <t>1.17</t>
        </is>
      </c>
      <c r="C42" s="128" t="inlineStr">
        <is>
          <t>Compliance Admin</t>
        </is>
      </c>
      <c r="D42" s="128" t="inlineStr">
        <is>
          <t>30 min</t>
        </is>
      </c>
      <c r="E42" s="128" t="inlineStr">
        <is>
          <t>Weekly</t>
        </is>
      </c>
    </row>
    <row r="43">
      <c r="A43" s="128" t="inlineStr">
        <is>
          <t>Audit agent sharing changes</t>
        </is>
      </c>
      <c r="B43" s="128" t="inlineStr">
        <is>
          <t>1.15</t>
        </is>
      </c>
      <c r="C43" s="128" t="inlineStr">
        <is>
          <t>AI Administrator</t>
        </is>
      </c>
      <c r="D43" s="128" t="inlineStr">
        <is>
          <t>20 min</t>
        </is>
      </c>
      <c r="E43" s="128" t="inlineStr">
        <is>
          <t>Weekly</t>
        </is>
      </c>
    </row>
    <row r="44">
      <c r="A44" s="128" t="inlineStr">
        <is>
          <t>Review channel publishing attempts</t>
        </is>
      </c>
      <c r="B44" s="128" t="inlineStr">
        <is>
          <t>1.14, 2.14</t>
        </is>
      </c>
      <c r="C44" s="128" t="inlineStr">
        <is>
          <t>Security Admin</t>
        </is>
      </c>
      <c r="D44" s="128" t="inlineStr">
        <is>
          <t>15 min</t>
        </is>
      </c>
      <c r="E44" s="128" t="inlineStr">
        <is>
          <t>Weekly</t>
        </is>
      </c>
    </row>
    <row r="45">
      <c r="A45" s="128" t="inlineStr">
        <is>
          <t>Check skills/plugins usage</t>
        </is>
      </c>
      <c r="B45" s="128" t="inlineStr">
        <is>
          <t>2.11</t>
        </is>
      </c>
      <c r="C45" s="128" t="inlineStr">
        <is>
          <t>Power Platform Admin</t>
        </is>
      </c>
      <c r="D45" s="128" t="inlineStr">
        <is>
          <t>20 min</t>
        </is>
      </c>
      <c r="E45" s="128" t="inlineStr">
        <is>
          <t>Weekly</t>
        </is>
      </c>
    </row>
    <row r="46">
      <c r="A46" s="128" t="inlineStr">
        <is>
          <t>Review autonomous agent actions</t>
        </is>
      </c>
      <c r="B46" s="128" t="inlineStr">
        <is>
          <t>2.12</t>
        </is>
      </c>
      <c r="C46" s="128" t="inlineStr">
        <is>
          <t>AI Administrator</t>
        </is>
      </c>
      <c r="D46" s="128" t="inlineStr">
        <is>
          <t>30 min</t>
        </is>
      </c>
      <c r="E46" s="128" t="inlineStr">
        <is>
          <t>Weekly</t>
        </is>
      </c>
    </row>
    <row r="47">
      <c r="A47" s="128" t="inlineStr">
        <is>
          <t>Validate Conditional Access compliance</t>
        </is>
      </c>
      <c r="B47" s="128" t="inlineStr">
        <is>
          <t>1.18</t>
        </is>
      </c>
      <c r="C47" s="128" t="inlineStr">
        <is>
          <t>Security Admin</t>
        </is>
      </c>
      <c r="D47" s="128" t="inlineStr">
        <is>
          <t>20 min</t>
        </is>
      </c>
      <c r="E47" s="128" t="inlineStr">
        <is>
          <t>Weekly</t>
        </is>
      </c>
    </row>
    <row r="48">
      <c r="A48" s="128" t="inlineStr">
        <is>
          <t>Review cost trends and alerts</t>
        </is>
      </c>
      <c r="B48" s="128" t="inlineStr">
        <is>
          <t>3.5</t>
        </is>
      </c>
      <c r="C48" s="128" t="inlineStr">
        <is>
          <t>Finance/IT Admin</t>
        </is>
      </c>
      <c r="D48" s="128" t="inlineStr">
        <is>
          <t>30 min</t>
        </is>
      </c>
      <c r="E48" s="128" t="inlineStr">
        <is>
          <t>Weekly</t>
        </is>
      </c>
    </row>
    <row r="49">
      <c r="A49" s="128" t="inlineStr">
        <is>
          <t>Process ownerless agent reassignments</t>
        </is>
      </c>
      <c r="B49" s="128" t="inlineStr">
        <is>
          <t>3.6</t>
        </is>
      </c>
      <c r="C49" s="128" t="inlineStr">
        <is>
          <t>Power Platform Admin</t>
        </is>
      </c>
      <c r="D49" s="128" t="inlineStr">
        <is>
          <t>45 min</t>
        </is>
      </c>
      <c r="E49" s="128" t="inlineStr">
        <is>
          <t>Weekly</t>
        </is>
      </c>
    </row>
    <row r="50">
      <c r="A50" s="128" t="inlineStr">
        <is>
          <t>Review SharePoint agent insight reports</t>
        </is>
      </c>
      <c r="B50" s="128" t="inlineStr">
        <is>
          <t>4.4</t>
        </is>
      </c>
      <c r="C50" s="128" t="inlineStr">
        <is>
          <t>SharePoint Admin</t>
        </is>
      </c>
      <c r="D50" s="128" t="inlineStr">
        <is>
          <t>30 min</t>
        </is>
      </c>
      <c r="E50" s="128" t="inlineStr">
        <is>
          <t>Weekly</t>
        </is>
      </c>
    </row>
    <row r="51">
      <c r="A51" s="128" t="inlineStr">
        <is>
          <t>Check RCD policy compliance</t>
        </is>
      </c>
      <c r="B51" s="128" t="inlineStr">
        <is>
          <t>4.1</t>
        </is>
      </c>
      <c r="C51" s="128" t="inlineStr">
        <is>
          <t>Compliance Admin</t>
        </is>
      </c>
      <c r="D51" s="128" t="inlineStr">
        <is>
          <t>15 min</t>
        </is>
      </c>
      <c r="E51" s="128" t="inlineStr">
        <is>
          <t>Weekly</t>
        </is>
      </c>
    </row>
    <row r="54">
      <c r="A54" s="142" t="inlineStr">
        <is>
          <t>PHASE 1/2/3 MONTHLY OPERATIONS</t>
        </is>
      </c>
    </row>
    <row r="55">
      <c r="A55" s="143" t="inlineStr">
        <is>
          <t>Task</t>
        </is>
      </c>
      <c r="B55" s="143" t="inlineStr">
        <is>
          <t>Control Reference</t>
        </is>
      </c>
      <c r="C55" s="143" t="inlineStr">
        <is>
          <t>Responsible Role</t>
        </is>
      </c>
      <c r="D55" s="143" t="inlineStr">
        <is>
          <t>Duration</t>
        </is>
      </c>
      <c r="E55" s="143" t="inlineStr">
        <is>
          <t>Frequency</t>
        </is>
      </c>
    </row>
    <row r="56">
      <c r="A56" s="128" t="inlineStr">
        <is>
          <t>Sensitivity label coverage audit</t>
        </is>
      </c>
      <c r="B56" s="128" t="inlineStr">
        <is>
          <t>1.16</t>
        </is>
      </c>
      <c r="C56" s="128" t="inlineStr">
        <is>
          <t>Compliance Admin</t>
        </is>
      </c>
      <c r="D56" s="128" t="inlineStr">
        <is>
          <t>1 hour</t>
        </is>
      </c>
      <c r="E56" s="128" t="inlineStr">
        <is>
          <t>Monthly</t>
        </is>
      </c>
    </row>
    <row r="57">
      <c r="A57" s="128" t="inlineStr">
        <is>
          <t>eDiscovery readiness test</t>
        </is>
      </c>
      <c r="B57" s="128" t="inlineStr">
        <is>
          <t>1.13</t>
        </is>
      </c>
      <c r="C57" s="128" t="inlineStr">
        <is>
          <t>Legal/Compliance</t>
        </is>
      </c>
      <c r="D57" s="128" t="inlineStr">
        <is>
          <t>2 hours</t>
        </is>
      </c>
      <c r="E57" s="128" t="inlineStr">
        <is>
          <t>Monthly</t>
        </is>
      </c>
    </row>
    <row r="58">
      <c r="A58" s="128" t="inlineStr">
        <is>
          <t>Data retention policy review</t>
        </is>
      </c>
      <c r="B58" s="128" t="inlineStr">
        <is>
          <t>1.9</t>
        </is>
      </c>
      <c r="C58" s="128" t="inlineStr">
        <is>
          <t>Compliance Admin</t>
        </is>
      </c>
      <c r="D58" s="128" t="inlineStr">
        <is>
          <t>1 hour</t>
        </is>
      </c>
      <c r="E58" s="128" t="inlineStr">
        <is>
          <t>Monthly</t>
        </is>
      </c>
    </row>
    <row r="59">
      <c r="A59" s="128" t="inlineStr">
        <is>
          <t>Communication Compliance trends analysis</t>
        </is>
      </c>
      <c r="B59" s="128" t="inlineStr">
        <is>
          <t>1.10</t>
        </is>
      </c>
      <c r="C59" s="128" t="inlineStr">
        <is>
          <t>Compliance Admin</t>
        </is>
      </c>
      <c r="D59" s="128" t="inlineStr">
        <is>
          <t>1 hour</t>
        </is>
      </c>
      <c r="E59" s="128" t="inlineStr">
        <is>
          <t>Monthly</t>
        </is>
      </c>
    </row>
    <row r="60">
      <c r="A60" s="128" t="inlineStr">
        <is>
          <t>Knowledge source access audit</t>
        </is>
      </c>
      <c r="B60" s="128" t="inlineStr">
        <is>
          <t>2.7</t>
        </is>
      </c>
      <c r="C60" s="128" t="inlineStr">
        <is>
          <t>AI Administrator</t>
        </is>
      </c>
      <c r="D60" s="128" t="inlineStr">
        <is>
          <t>1 hour</t>
        </is>
      </c>
      <c r="E60" s="128" t="inlineStr">
        <is>
          <t>Monthly</t>
        </is>
      </c>
    </row>
    <row r="61">
      <c r="A61" s="128" t="inlineStr">
        <is>
          <t>Transcript retention verification</t>
        </is>
      </c>
      <c r="B61" s="128" t="inlineStr">
        <is>
          <t>2.9</t>
        </is>
      </c>
      <c r="C61" s="128" t="inlineStr">
        <is>
          <t>Compliance Admin</t>
        </is>
      </c>
      <c r="D61" s="128" t="inlineStr">
        <is>
          <t>30 min</t>
        </is>
      </c>
      <c r="E61" s="128" t="inlineStr">
        <is>
          <t>Monthly</t>
        </is>
      </c>
    </row>
    <row r="62">
      <c r="A62" s="128" t="inlineStr">
        <is>
          <t>Solution checker compliance review</t>
        </is>
      </c>
      <c r="B62" s="128" t="inlineStr">
        <is>
          <t>2.10</t>
        </is>
      </c>
      <c r="C62" s="128" t="inlineStr">
        <is>
          <t>Power Platform Admin</t>
        </is>
      </c>
      <c r="D62" s="128" t="inlineStr">
        <is>
          <t>30 min</t>
        </is>
      </c>
      <c r="E62" s="128" t="inlineStr">
        <is>
          <t>Monthly</t>
        </is>
      </c>
    </row>
    <row r="63">
      <c r="A63" s="128" t="inlineStr">
        <is>
          <t>Site access review follow-up</t>
        </is>
      </c>
      <c r="B63" s="128" t="inlineStr">
        <is>
          <t>4.2</t>
        </is>
      </c>
      <c r="C63" s="128" t="inlineStr">
        <is>
          <t>SharePoint Admin</t>
        </is>
      </c>
      <c r="D63" s="128" t="inlineStr">
        <is>
          <t>1 hour</t>
        </is>
      </c>
      <c r="E63" s="128" t="inlineStr">
        <is>
          <t>Monthly</t>
        </is>
      </c>
    </row>
    <row r="64">
      <c r="A64" s="128" t="inlineStr">
        <is>
          <t>Block download policy audit</t>
        </is>
      </c>
      <c r="B64" s="128" t="inlineStr">
        <is>
          <t>4.3</t>
        </is>
      </c>
      <c r="C64" s="128" t="inlineStr">
        <is>
          <t>SharePoint Admin</t>
        </is>
      </c>
      <c r="D64" s="128" t="inlineStr">
        <is>
          <t>30 min</t>
        </is>
      </c>
      <c r="E64" s="128" t="inlineStr">
        <is>
          <t>Monthly</t>
        </is>
      </c>
    </row>
    <row r="65">
      <c r="A65" s="128" t="inlineStr">
        <is>
          <t>Site sharing restrictions review</t>
        </is>
      </c>
      <c r="B65" s="128" t="inlineStr">
        <is>
          <t>4.5</t>
        </is>
      </c>
      <c r="C65" s="128" t="inlineStr">
        <is>
          <t>SharePoint Admin</t>
        </is>
      </c>
      <c r="D65" s="128" t="inlineStr">
        <is>
          <t>45 min</t>
        </is>
      </c>
      <c r="E65" s="128" t="inlineStr">
        <is>
          <t>Monthly</t>
        </is>
      </c>
    </row>
    <row r="66">
      <c r="A66" s="128" t="inlineStr">
        <is>
          <t>Cost allocation and chargeback</t>
        </is>
      </c>
      <c r="B66" s="128" t="inlineStr">
        <is>
          <t>3.5</t>
        </is>
      </c>
      <c r="C66" s="128" t="inlineStr">
        <is>
          <t>Finance</t>
        </is>
      </c>
      <c r="D66" s="128" t="inlineStr">
        <is>
          <t>2 hours</t>
        </is>
      </c>
      <c r="E66" s="128" t="inlineStr">
        <is>
          <t>Monthly</t>
        </is>
      </c>
    </row>
    <row r="69">
      <c r="A69" s="142" t="inlineStr">
        <is>
          <t>PHASE 1/2/3 QUARTERLY OPERATIONS</t>
        </is>
      </c>
    </row>
    <row r="70">
      <c r="A70" s="143" t="inlineStr">
        <is>
          <t>Task</t>
        </is>
      </c>
      <c r="B70" s="143" t="inlineStr">
        <is>
          <t>Control Reference</t>
        </is>
      </c>
      <c r="C70" s="143" t="inlineStr">
        <is>
          <t>Responsible Role</t>
        </is>
      </c>
      <c r="D70" s="143" t="inlineStr">
        <is>
          <t>Duration</t>
        </is>
      </c>
      <c r="E70" s="143" t="inlineStr">
        <is>
          <t>Frequency</t>
        </is>
      </c>
    </row>
    <row r="71">
      <c r="A71" s="128" t="inlineStr">
        <is>
          <t>Comprehensive retention compliance review</t>
        </is>
      </c>
      <c r="B71" s="128" t="inlineStr">
        <is>
          <t>1.9, 2.9</t>
        </is>
      </c>
      <c r="C71" s="128" t="inlineStr">
        <is>
          <t>Compliance Officer</t>
        </is>
      </c>
      <c r="D71" s="128" t="inlineStr">
        <is>
          <t>4 hours</t>
        </is>
      </c>
      <c r="E71" s="128" t="inlineStr">
        <is>
          <t>Quarterly</t>
        </is>
      </c>
    </row>
    <row r="72">
      <c r="A72" s="128" t="inlineStr">
        <is>
          <t>Insider Risk policy effectiveness review</t>
        </is>
      </c>
      <c r="B72" s="128" t="inlineStr">
        <is>
          <t>1.12</t>
        </is>
      </c>
      <c r="C72" s="128" t="inlineStr">
        <is>
          <t>Security Lead</t>
        </is>
      </c>
      <c r="D72" s="128" t="inlineStr">
        <is>
          <t>2 hours</t>
        </is>
      </c>
      <c r="E72" s="128" t="inlineStr">
        <is>
          <t>Quarterly</t>
        </is>
      </c>
    </row>
    <row r="73">
      <c r="A73" s="128" t="inlineStr">
        <is>
          <t>Conditional Access policy review</t>
        </is>
      </c>
      <c r="B73" s="128" t="inlineStr">
        <is>
          <t>1.18</t>
        </is>
      </c>
      <c r="C73" s="128" t="inlineStr">
        <is>
          <t>Security Lead</t>
        </is>
      </c>
      <c r="D73" s="128" t="inlineStr">
        <is>
          <t>2 hours</t>
        </is>
      </c>
      <c r="E73" s="128" t="inlineStr">
        <is>
          <t>Quarterly</t>
        </is>
      </c>
    </row>
    <row r="74">
      <c r="A74" s="128" t="inlineStr">
        <is>
          <t>DLP policy effectiveness assessment</t>
        </is>
      </c>
      <c r="B74" s="128" t="inlineStr">
        <is>
          <t>1.5, 1.11, 1.14</t>
        </is>
      </c>
      <c r="C74" s="128" t="inlineStr">
        <is>
          <t>Compliance Admin</t>
        </is>
      </c>
      <c r="D74" s="128" t="inlineStr">
        <is>
          <t>3 hours</t>
        </is>
      </c>
      <c r="E74" s="128" t="inlineStr">
        <is>
          <t>Quarterly</t>
        </is>
      </c>
    </row>
    <row r="75">
      <c r="A75" s="128" t="inlineStr">
        <is>
          <t>Environment Group rules audit</t>
        </is>
      </c>
      <c r="B75" s="128" t="inlineStr">
        <is>
          <t>2.11-2.14</t>
        </is>
      </c>
      <c r="C75" s="128" t="inlineStr">
        <is>
          <t>Power Platform Admin</t>
        </is>
      </c>
      <c r="D75" s="128" t="inlineStr">
        <is>
          <t>2 hours</t>
        </is>
      </c>
      <c r="E75" s="128" t="inlineStr">
        <is>
          <t>Quarterly</t>
        </is>
      </c>
    </row>
    <row r="76">
      <c r="A76" s="128" t="inlineStr">
        <is>
          <t>Autonomous agent risk assessment</t>
        </is>
      </c>
      <c r="B76" s="128" t="inlineStr">
        <is>
          <t>2.12</t>
        </is>
      </c>
      <c r="C76" s="128" t="inlineStr">
        <is>
          <t>AI Governance Lead</t>
        </is>
      </c>
      <c r="D76" s="128" t="inlineStr">
        <is>
          <t>3 hours</t>
        </is>
      </c>
      <c r="E76" s="128" t="inlineStr">
        <is>
          <t>Quarterly</t>
        </is>
      </c>
    </row>
    <row r="77">
      <c r="A77" s="128" t="inlineStr">
        <is>
          <t>RCD coverage comprehensive review</t>
        </is>
      </c>
      <c r="B77" s="128" t="inlineStr">
        <is>
          <t>4.1</t>
        </is>
      </c>
      <c r="C77" s="128" t="inlineStr">
        <is>
          <t>Compliance Officer</t>
        </is>
      </c>
      <c r="D77" s="128" t="inlineStr">
        <is>
          <t>2 hours</t>
        </is>
      </c>
      <c r="E77" s="128" t="inlineStr">
        <is>
          <t>Quarterly</t>
        </is>
      </c>
    </row>
    <row r="78">
      <c r="A78" s="128" t="inlineStr">
        <is>
          <t>Access review certification audit</t>
        </is>
      </c>
      <c r="B78" s="128" t="inlineStr">
        <is>
          <t>4.2</t>
        </is>
      </c>
      <c r="C78" s="128" t="inlineStr">
        <is>
          <t>Compliance Officer</t>
        </is>
      </c>
      <c r="D78" s="128" t="inlineStr">
        <is>
          <t>3 hours</t>
        </is>
      </c>
      <c r="E78" s="128" t="inlineStr">
        <is>
          <t>Quarterly</t>
        </is>
      </c>
    </row>
    <row r="79">
      <c r="A79" s="128" t="inlineStr">
        <is>
          <t>Cost optimization review</t>
        </is>
      </c>
      <c r="B79" s="128" t="inlineStr">
        <is>
          <t>3.5</t>
        </is>
      </c>
      <c r="C79" s="128" t="inlineStr">
        <is>
          <t>Finance Lead</t>
        </is>
      </c>
      <c r="D79" s="128" t="inlineStr">
        <is>
          <t>2 hours</t>
        </is>
      </c>
      <c r="E79" s="128" t="inlineStr">
        <is>
          <t>Quarterly</t>
        </is>
      </c>
    </row>
    <row r="80">
      <c r="A80" s="128" t="inlineStr">
        <is>
          <t>Regulatory exam preparation update</t>
        </is>
      </c>
      <c r="B80" s="128" t="inlineStr">
        <is>
          <t>All controls</t>
        </is>
      </c>
      <c r="C80" s="128" t="inlineStr">
        <is>
          <t>Compliance Officer</t>
        </is>
      </c>
      <c r="D80" s="128" t="inlineStr">
        <is>
          <t>8 hours</t>
        </is>
      </c>
      <c r="E80" s="128" t="inlineStr">
        <is>
          <t>Quarterly</t>
        </is>
      </c>
    </row>
  </sheetData>
  <mergeCells count="10">
    <mergeCell ref="A30:E30"/>
    <mergeCell ref="A69:E69"/>
    <mergeCell ref="A1:G1"/>
    <mergeCell ref="A18:G18"/>
    <mergeCell ref="A54:E54"/>
    <mergeCell ref="A4:G4"/>
    <mergeCell ref="A26:G26"/>
    <mergeCell ref="A2:G2"/>
    <mergeCell ref="A40:E40"/>
    <mergeCell ref="A10:G10"/>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E1"/>
    </sheetView>
  </sheetViews>
  <sheetFormatPr baseColWidth="8" defaultRowHeight="14.45"/>
  <cols>
    <col width="27.5703125" bestFit="1" customWidth="1" style="64" min="1" max="1"/>
    <col width="91.28515625" bestFit="1" customWidth="1" style="64" min="2" max="2"/>
    <col width="89.7109375" bestFit="1" customWidth="1" style="64" min="3" max="3"/>
    <col width="9.42578125" bestFit="1" customWidth="1" style="64" min="4" max="4"/>
    <col width="11" bestFit="1" customWidth="1" style="64" min="5" max="5"/>
    <col width="11.42578125" bestFit="1" customWidth="1" style="101" min="6" max="7"/>
  </cols>
  <sheetData>
    <row r="1" ht="18" customHeight="1" s="101">
      <c r="A1" s="61" t="inlineStr">
        <is>
          <t>COMPLIANCE ALIGNMENT SUMMARY</t>
        </is>
      </c>
      <c r="B1" s="127" t="n"/>
      <c r="C1" s="127" t="n"/>
      <c r="D1" s="127" t="n"/>
      <c r="E1" s="127" t="n"/>
    </row>
    <row r="2" ht="18" customHeight="1" s="101">
      <c r="A2" s="5" t="inlineStr">
        <is>
          <t>Control</t>
        </is>
      </c>
      <c r="B2" s="5" t="inlineStr">
        <is>
          <t>FINRA</t>
        </is>
      </c>
      <c r="C2" s="5" t="inlineStr">
        <is>
          <t>SEC</t>
        </is>
      </c>
      <c r="D2" s="5" t="inlineStr">
        <is>
          <t>SOX</t>
        </is>
      </c>
      <c r="E2" s="5" t="inlineStr">
        <is>
          <t>GLBA</t>
        </is>
      </c>
      <c r="F2" s="133" t="inlineStr">
        <is>
          <t>OCC 2011-12</t>
        </is>
      </c>
      <c r="G2" s="133" t="inlineStr">
        <is>
          <t>Fed SR 11-7</t>
        </is>
      </c>
    </row>
    <row r="3" ht="18" customHeight="1" s="101">
      <c r="A3" s="2" t="inlineStr">
        <is>
          <t>Agent Publishing Restriction</t>
        </is>
      </c>
      <c r="B3" s="2" t="inlineStr">
        <is>
          <t>4511</t>
        </is>
      </c>
      <c r="C3" s="2" t="inlineStr">
        <is>
          <t>SEC Rule 17a-4</t>
        </is>
      </c>
      <c r="D3" s="2" t="inlineStr">
        <is>
          <t>302</t>
        </is>
      </c>
      <c r="E3" s="2" t="inlineStr">
        <is>
          <t>501(b)</t>
        </is>
      </c>
      <c r="F3" s="128" t="inlineStr">
        <is>
          <t>Model Risk Mgmt</t>
        </is>
      </c>
      <c r="G3" s="128" t="inlineStr">
        <is>
          <t>Model Risk Mgmt</t>
        </is>
      </c>
    </row>
    <row r="4" ht="18" customHeight="1" s="101">
      <c r="A4" s="2" t="inlineStr">
        <is>
          <t>Agent Inventory</t>
        </is>
      </c>
      <c r="B4" s="2" t="inlineStr">
        <is>
          <t>4511</t>
        </is>
      </c>
      <c r="C4" s="2" t="inlineStr">
        <is>
          <t>17a-3/4</t>
        </is>
      </c>
      <c r="D4" s="2" t="inlineStr">
        <is>
          <t>404</t>
        </is>
      </c>
      <c r="E4" s="2" t="inlineStr">
        <is>
          <t>501(a)</t>
        </is>
      </c>
      <c r="F4" s="128" t="inlineStr">
        <is>
          <t>Model Inventory</t>
        </is>
      </c>
      <c r="G4" s="128" t="inlineStr">
        <is>
          <t>Model Inventory</t>
        </is>
      </c>
    </row>
    <row r="5" ht="18" customHeight="1" s="101">
      <c r="A5" s="2" t="inlineStr">
        <is>
          <t>Audit Logging</t>
        </is>
      </c>
      <c r="B5" s="2" t="inlineStr">
        <is>
          <t>4511</t>
        </is>
      </c>
      <c r="C5" s="2" t="inlineStr">
        <is>
          <t>17a-3/4</t>
        </is>
      </c>
      <c r="D5" s="2" t="inlineStr">
        <is>
          <t>302/404</t>
        </is>
      </c>
      <c r="E5" s="2" t="inlineStr">
        <is>
          <t>501(b)</t>
        </is>
      </c>
      <c r="F5" s="128" t="inlineStr">
        <is>
          <t>Model Documentation</t>
        </is>
      </c>
      <c r="G5" s="128" t="inlineStr">
        <is>
          <t>Documentation</t>
        </is>
      </c>
    </row>
    <row r="6" ht="18" customHeight="1" s="101">
      <c r="A6" s="2" t="inlineStr">
        <is>
          <t>DLP Policies</t>
        </is>
      </c>
      <c r="B6" s="2" t="inlineStr">
        <is>
          <t>4511</t>
        </is>
      </c>
      <c r="C6" s="2" t="inlineStr">
        <is>
          <t>SEC Reg S-P</t>
        </is>
      </c>
      <c r="D6" s="2" t="inlineStr">
        <is>
          <t>404</t>
        </is>
      </c>
      <c r="E6" s="2" t="inlineStr">
        <is>
          <t>501(b)</t>
        </is>
      </c>
      <c r="F6" s="128" t="inlineStr">
        <is>
          <t>Risk Controls</t>
        </is>
      </c>
      <c r="G6" s="128" t="inlineStr">
        <is>
          <t>Risk Controls</t>
        </is>
      </c>
    </row>
    <row r="7" ht="18" customHeight="1" s="101">
      <c r="A7" s="2" t="inlineStr">
        <is>
          <t>DSPM for AI</t>
        </is>
      </c>
      <c r="B7" s="2" t="inlineStr">
        <is>
          <t>Reg Notice 25-07</t>
        </is>
      </c>
      <c r="C7" s="2" t="inlineStr">
        <is>
          <t>SEC Div. of Examinations AI priorities</t>
        </is>
      </c>
      <c r="D7" s="2" t="inlineStr">
        <is>
          <t>302</t>
        </is>
      </c>
      <c r="E7" s="2" t="inlineStr">
        <is>
          <t>501(a)</t>
        </is>
      </c>
      <c r="F7" s="128" t="inlineStr">
        <is>
          <t>Model Monitoring</t>
        </is>
      </c>
      <c r="G7" s="128" t="inlineStr">
        <is>
          <t>Ongoing Monitoring</t>
        </is>
      </c>
    </row>
    <row r="8" ht="18" customHeight="1" s="101">
      <c r="A8" s="2" t="inlineStr">
        <is>
          <t>Runtime Protection</t>
        </is>
      </c>
      <c r="B8" s="2" t="inlineStr">
        <is>
          <t>Reg Notice 25-07</t>
        </is>
      </c>
      <c r="C8" s="2" t="inlineStr">
        <is>
          <t>SEC Div. of Examinations AI priorities</t>
        </is>
      </c>
      <c r="D8" s="2" t="inlineStr">
        <is>
          <t>302</t>
        </is>
      </c>
      <c r="E8" s="2" t="inlineStr">
        <is>
          <t>501(b)</t>
        </is>
      </c>
      <c r="F8" s="128" t="inlineStr">
        <is>
          <t>Model Monitoring</t>
        </is>
      </c>
      <c r="G8" s="128" t="inlineStr">
        <is>
          <t>Ongoing Monitoring</t>
        </is>
      </c>
    </row>
    <row r="9" ht="18" customHeight="1" s="101">
      <c r="A9" s="2" t="inlineStr">
        <is>
          <t>ALM &amp; Pipelines</t>
        </is>
      </c>
      <c r="B9" s="2" t="inlineStr">
        <is>
          <t>4511</t>
        </is>
      </c>
      <c r="C9" s="2" t="inlineStr">
        <is>
          <t>17a-3</t>
        </is>
      </c>
      <c r="D9" s="2" t="inlineStr">
        <is>
          <t>302/404</t>
        </is>
      </c>
      <c r="E9" s="2" t="inlineStr">
        <is>
          <t>501(b)</t>
        </is>
      </c>
      <c r="F9" s="128" t="inlineStr">
        <is>
          <t>Change Mgmt</t>
        </is>
      </c>
      <c r="G9" s="128" t="inlineStr">
        <is>
          <t>Development</t>
        </is>
      </c>
    </row>
    <row r="10" ht="18" customHeight="1" s="101">
      <c r="A10" s="2" t="inlineStr">
        <is>
          <t>Environment Groups</t>
        </is>
      </c>
      <c r="B10" s="2" t="inlineStr">
        <is>
          <t>4511(b)</t>
        </is>
      </c>
      <c r="C10" s="2" t="inlineStr">
        <is>
          <t>17a-4</t>
        </is>
      </c>
      <c r="D10" s="2" t="inlineStr">
        <is>
          <t>302</t>
        </is>
      </c>
      <c r="E10" s="2" t="inlineStr">
        <is>
          <t>501(b)</t>
        </is>
      </c>
      <c r="F10" s="128" t="inlineStr">
        <is>
          <t>Risk Controls</t>
        </is>
      </c>
      <c r="G10" s="128" t="inlineStr">
        <is>
          <t>Risk Controls</t>
        </is>
      </c>
    </row>
    <row r="11" ht="18" customHeight="1" s="101">
      <c r="A11" s="2" t="inlineStr">
        <is>
          <t>Monitoring &amp; Alerts</t>
        </is>
      </c>
      <c r="B11" s="2" t="inlineStr">
        <is>
          <t>4511</t>
        </is>
      </c>
      <c r="C11" s="2" t="inlineStr">
        <is>
          <t>17a-4</t>
        </is>
      </c>
      <c r="D11" s="2" t="inlineStr">
        <is>
          <t>302</t>
        </is>
      </c>
      <c r="E11" s="2" t="inlineStr">
        <is>
          <t>501(b)</t>
        </is>
      </c>
      <c r="F11" s="128" t="inlineStr">
        <is>
          <t>Model Monitoring</t>
        </is>
      </c>
      <c r="G11" s="128" t="inlineStr">
        <is>
          <t>Ongoing Monitoring</t>
        </is>
      </c>
    </row>
    <row r="12" ht="18" customHeight="1" s="101">
      <c r="A12" s="2" t="inlineStr">
        <is>
          <t>Maker Training</t>
        </is>
      </c>
      <c r="B12" s="2" t="inlineStr">
        <is>
          <t>4512</t>
        </is>
      </c>
      <c r="C12" s="2" t="inlineStr">
        <is>
          <t>SEC Reg BI (if advisory)</t>
        </is>
      </c>
      <c r="D12" s="2" t="inlineStr">
        <is>
          <t>302</t>
        </is>
      </c>
      <c r="E12" s="2" t="inlineStr">
        <is>
          <t>501(a)</t>
        </is>
      </c>
      <c r="F12" s="128" t="inlineStr">
        <is>
          <t>Staffing/Training</t>
        </is>
      </c>
      <c r="G12" s="128" t="inlineStr">
        <is>
          <t>Staffing</t>
        </is>
      </c>
    </row>
    <row r="13" ht="18" customHeight="1" s="101">
      <c r="A13" s="134" t="inlineStr">
        <is>
          <t>Data Retention (1.9)</t>
        </is>
      </c>
      <c r="B13" s="134" t="inlineStr">
        <is>
          <t>4511</t>
        </is>
      </c>
      <c r="C13" s="134" t="inlineStr">
        <is>
          <t>17a-3/4</t>
        </is>
      </c>
      <c r="D13" s="134" t="inlineStr">
        <is>
          <t>404</t>
        </is>
      </c>
      <c r="E13" s="134" t="inlineStr">
        <is>
          <t>501(b)</t>
        </is>
      </c>
      <c r="F13" s="128" t="inlineStr">
        <is>
          <t>Documentation</t>
        </is>
      </c>
      <c r="G13" s="128" t="inlineStr">
        <is>
          <t>Documentation</t>
        </is>
      </c>
    </row>
    <row r="14" ht="18" customHeight="1" s="101">
      <c r="A14" s="128" t="inlineStr">
        <is>
          <t>Communication Compliance (1.10)</t>
        </is>
      </c>
      <c r="B14" s="131" t="n"/>
      <c r="C14" s="131" t="n"/>
      <c r="D14" s="131" t="n"/>
      <c r="E14" s="132" t="n"/>
      <c r="F14" s="128" t="inlineStr">
        <is>
          <t>Risk Controls</t>
        </is>
      </c>
      <c r="G14" s="128" t="inlineStr">
        <is>
          <t>Risk Controls</t>
        </is>
      </c>
    </row>
    <row r="15" ht="18" customHeight="1" s="101">
      <c r="A15" s="128" t="inlineStr">
        <is>
          <t>Authentication Controls (1.11)</t>
        </is>
      </c>
      <c r="B15" s="128" t="inlineStr">
        <is>
          <t>4511</t>
        </is>
      </c>
      <c r="C15" s="128" t="inlineStr">
        <is>
          <t>17a-4</t>
        </is>
      </c>
      <c r="D15" s="128" t="inlineStr">
        <is>
          <t>302/404</t>
        </is>
      </c>
      <c r="E15" s="128" t="inlineStr">
        <is>
          <t>501(b)</t>
        </is>
      </c>
      <c r="F15" s="128" t="inlineStr">
        <is>
          <t>Access Controls</t>
        </is>
      </c>
      <c r="G15" s="128" t="inlineStr">
        <is>
          <t>Access Controls</t>
        </is>
      </c>
    </row>
    <row r="16" ht="18" customHeight="1" s="101">
      <c r="A16" s="128" t="inlineStr">
        <is>
          <t>Insider Risk for AI (1.12)</t>
        </is>
      </c>
      <c r="B16" s="128" t="inlineStr">
        <is>
          <t>Reg Notice 25-07</t>
        </is>
      </c>
      <c r="C16" s="128" t="inlineStr">
        <is>
          <t>AI Exam priorities</t>
        </is>
      </c>
      <c r="D16" s="128" t="inlineStr">
        <is>
          <t>302</t>
        </is>
      </c>
      <c r="E16" s="128" t="inlineStr">
        <is>
          <t>501(b)</t>
        </is>
      </c>
      <c r="F16" s="128" t="inlineStr">
        <is>
          <t>Model Monitoring</t>
        </is>
      </c>
      <c r="G16" s="128" t="inlineStr">
        <is>
          <t>Ongoing Monitoring</t>
        </is>
      </c>
    </row>
    <row r="17" ht="18" customHeight="1" s="101">
      <c r="A17" s="128" t="inlineStr">
        <is>
          <t>eDiscovery for AI (1.13)</t>
        </is>
      </c>
      <c r="B17" s="128" t="inlineStr">
        <is>
          <t>4511</t>
        </is>
      </c>
      <c r="C17" s="128" t="inlineStr">
        <is>
          <t>17a-3/4</t>
        </is>
      </c>
      <c r="D17" s="128" t="inlineStr">
        <is>
          <t>404</t>
        </is>
      </c>
      <c r="E17" s="128" t="inlineStr">
        <is>
          <t>501(b)</t>
        </is>
      </c>
      <c r="F17" s="128" t="inlineStr">
        <is>
          <t>Documentation</t>
        </is>
      </c>
      <c r="G17" s="128" t="inlineStr">
        <is>
          <t>Documentation</t>
        </is>
      </c>
    </row>
    <row r="18" ht="18" customHeight="1" s="101">
      <c r="A18" s="128" t="inlineStr">
        <is>
          <t>Channel Controls (1.14)</t>
        </is>
      </c>
      <c r="B18" s="128" t="inlineStr">
        <is>
          <t>4511</t>
        </is>
      </c>
      <c r="C18" s="128" t="inlineStr">
        <is>
          <t>Reg S-P</t>
        </is>
      </c>
      <c r="D18" s="128" t="inlineStr">
        <is>
          <t>302</t>
        </is>
      </c>
      <c r="E18" s="128" t="inlineStr">
        <is>
          <t>501(b)</t>
        </is>
      </c>
      <c r="F18" s="128" t="inlineStr">
        <is>
          <t>Risk Controls</t>
        </is>
      </c>
      <c r="G18" s="128" t="inlineStr">
        <is>
          <t>Risk Controls</t>
        </is>
      </c>
    </row>
    <row r="19" ht="18" customHeight="1" s="101">
      <c r="A19" s="128" t="inlineStr">
        <is>
          <t>Sharing Controls (1.15)</t>
        </is>
      </c>
      <c r="B19" s="128" t="inlineStr">
        <is>
          <t>4511</t>
        </is>
      </c>
      <c r="C19" s="128" t="inlineStr">
        <is>
          <t>17a-4</t>
        </is>
      </c>
      <c r="D19" s="128" t="inlineStr">
        <is>
          <t>302</t>
        </is>
      </c>
      <c r="E19" s="128" t="inlineStr">
        <is>
          <t>501(b)</t>
        </is>
      </c>
      <c r="F19" s="128" t="inlineStr">
        <is>
          <t>Access Controls</t>
        </is>
      </c>
      <c r="G19" s="128" t="inlineStr">
        <is>
          <t>Access Controls</t>
        </is>
      </c>
    </row>
    <row r="20" ht="18" customHeight="1" s="101">
      <c r="A20" s="128" t="inlineStr">
        <is>
          <t>Knowledge Sources (2.7)</t>
        </is>
      </c>
      <c r="B20" s="128" t="inlineStr">
        <is>
          <t>4511</t>
        </is>
      </c>
      <c r="C20" s="128" t="inlineStr">
        <is>
          <t>Reg S-P</t>
        </is>
      </c>
      <c r="D20" s="128" t="inlineStr">
        <is>
          <t>302</t>
        </is>
      </c>
      <c r="E20" s="128" t="inlineStr">
        <is>
          <t>501(b)</t>
        </is>
      </c>
      <c r="F20" s="128" t="inlineStr">
        <is>
          <t>Data Controls</t>
        </is>
      </c>
      <c r="G20" s="128" t="inlineStr">
        <is>
          <t>Data Controls</t>
        </is>
      </c>
    </row>
    <row r="21" ht="18" customHeight="1" s="101">
      <c r="A21" s="128" t="inlineStr">
        <is>
          <t>AI Prompts Settings (2.8)</t>
        </is>
      </c>
      <c r="B21" s="128" t="inlineStr">
        <is>
          <t>Reg Notice 25-07</t>
        </is>
      </c>
      <c r="C21" s="128" t="inlineStr">
        <is>
          <t>AI Exam priorities</t>
        </is>
      </c>
      <c r="D21" s="128" t="inlineStr">
        <is>
          <t>302</t>
        </is>
      </c>
      <c r="E21" s="128" t="inlineStr">
        <is>
          <t>501(a)</t>
        </is>
      </c>
      <c r="F21" s="128" t="inlineStr">
        <is>
          <t>Model Risk Mgmt</t>
        </is>
      </c>
      <c r="G21" s="128" t="inlineStr">
        <is>
          <t>Model Risk Mgmt</t>
        </is>
      </c>
    </row>
    <row r="22" ht="148.5" customHeight="1" s="101">
      <c r="A22" s="128" t="inlineStr">
        <is>
          <t>Transcript Retention (2.9)</t>
        </is>
      </c>
      <c r="B22" s="128" t="inlineStr">
        <is>
          <t>4511</t>
        </is>
      </c>
      <c r="C22" s="128" t="inlineStr">
        <is>
          <t>17a-3/4</t>
        </is>
      </c>
      <c r="D22" s="128" t="inlineStr">
        <is>
          <t>404</t>
        </is>
      </c>
      <c r="E22" s="128" t="inlineStr">
        <is>
          <t>501(b)</t>
        </is>
      </c>
      <c r="F22" s="128" t="inlineStr">
        <is>
          <t>Documentation</t>
        </is>
      </c>
      <c r="G22" s="128" t="inlineStr">
        <is>
          <t>Documentation</t>
        </is>
      </c>
    </row>
    <row r="23" ht="148.5" customHeight="1" s="101">
      <c r="A23" s="128" t="inlineStr">
        <is>
          <t>Solution Checker (2.10)</t>
        </is>
      </c>
      <c r="B23" s="128" t="inlineStr">
        <is>
          <t>4511</t>
        </is>
      </c>
      <c r="C23" s="128" t="inlineStr">
        <is>
          <t>17a-3</t>
        </is>
      </c>
      <c r="D23" s="128" t="inlineStr">
        <is>
          <t>302/404</t>
        </is>
      </c>
      <c r="E23" s="128" t="inlineStr">
        <is>
          <t>501(b)</t>
        </is>
      </c>
      <c r="F23" s="128" t="inlineStr">
        <is>
          <t>Development</t>
        </is>
      </c>
      <c r="G23" s="128" t="inlineStr">
        <is>
          <t>Development</t>
        </is>
      </c>
    </row>
    <row r="24">
      <c r="A24" s="128" t="inlineStr">
        <is>
          <t>Sensitivity Labels (1.16)</t>
        </is>
      </c>
      <c r="B24" s="128" t="inlineStr">
        <is>
          <t>4511</t>
        </is>
      </c>
      <c r="C24" s="128" t="inlineStr">
        <is>
          <t>Reg S-P</t>
        </is>
      </c>
      <c r="D24" s="128" t="inlineStr">
        <is>
          <t>404</t>
        </is>
      </c>
      <c r="E24" s="128" t="inlineStr">
        <is>
          <t>501(b)</t>
        </is>
      </c>
      <c r="F24" s="128" t="inlineStr">
        <is>
          <t>Data Classification</t>
        </is>
      </c>
      <c r="G24" s="128" t="inlineStr">
        <is>
          <t>Data Classification</t>
        </is>
      </c>
    </row>
    <row r="25">
      <c r="A25" s="128" t="inlineStr">
        <is>
          <t>Oversharing Assessments (1.17)</t>
        </is>
      </c>
      <c r="B25" s="128" t="inlineStr">
        <is>
          <t>4511</t>
        </is>
      </c>
      <c r="C25" s="128" t="inlineStr">
        <is>
          <t>Reg S-P</t>
        </is>
      </c>
      <c r="D25" s="128" t="inlineStr">
        <is>
          <t>302</t>
        </is>
      </c>
      <c r="E25" s="128" t="inlineStr">
        <is>
          <t>501(b)</t>
        </is>
      </c>
      <c r="F25" s="128" t="inlineStr">
        <is>
          <t>Access Controls</t>
        </is>
      </c>
      <c r="G25" s="128" t="inlineStr">
        <is>
          <t>Access Controls</t>
        </is>
      </c>
    </row>
    <row r="26">
      <c r="A26" s="128" t="inlineStr">
        <is>
          <t>Conditional Access (1.18)</t>
        </is>
      </c>
      <c r="B26" s="128" t="inlineStr">
        <is>
          <t>4511</t>
        </is>
      </c>
      <c r="C26" s="128" t="inlineStr">
        <is>
          <t>17a-4</t>
        </is>
      </c>
      <c r="D26" s="128" t="inlineStr">
        <is>
          <t>302/404</t>
        </is>
      </c>
      <c r="E26" s="128" t="inlineStr">
        <is>
          <t>501(b)</t>
        </is>
      </c>
      <c r="F26" s="128" t="inlineStr">
        <is>
          <t>Access Controls</t>
        </is>
      </c>
      <c r="G26" s="128" t="inlineStr">
        <is>
          <t>Access Controls</t>
        </is>
      </c>
    </row>
    <row r="27">
      <c r="A27" s="128" t="inlineStr">
        <is>
          <t>Cost Management (3.5)</t>
        </is>
      </c>
      <c r="B27" s="128" t="inlineStr">
        <is>
          <t>4511</t>
        </is>
      </c>
      <c r="C27" s="128" t="inlineStr">
        <is>
          <t>17a-3</t>
        </is>
      </c>
      <c r="D27" s="128" t="inlineStr">
        <is>
          <t>302/404</t>
        </is>
      </c>
      <c r="E27" s="128" t="inlineStr">
        <is>
          <t>501(a)</t>
        </is>
      </c>
      <c r="F27" s="128" t="inlineStr">
        <is>
          <t>Financial Controls</t>
        </is>
      </c>
      <c r="G27" s="128" t="inlineStr">
        <is>
          <t>Financial Controls</t>
        </is>
      </c>
    </row>
    <row r="28">
      <c r="A28" s="128" t="inlineStr">
        <is>
          <t>Ownerless Agent Mgmt (3.6)</t>
        </is>
      </c>
      <c r="B28" s="128" t="inlineStr">
        <is>
          <t>4511</t>
        </is>
      </c>
      <c r="C28" s="128" t="inlineStr">
        <is>
          <t>17a-4</t>
        </is>
      </c>
      <c r="D28" s="128" t="inlineStr">
        <is>
          <t>302/404</t>
        </is>
      </c>
      <c r="E28" s="128" t="inlineStr">
        <is>
          <t>501(b)</t>
        </is>
      </c>
      <c r="F28" s="128" t="inlineStr">
        <is>
          <t>Model Inventory</t>
        </is>
      </c>
      <c r="G28" s="128" t="inlineStr">
        <is>
          <t>Model Inventory</t>
        </is>
      </c>
    </row>
    <row r="29">
      <c r="A29" s="128" t="inlineStr">
        <is>
          <t>Restricted Content Discovery (4.1)</t>
        </is>
      </c>
      <c r="B29" s="128" t="inlineStr">
        <is>
          <t>4511</t>
        </is>
      </c>
      <c r="C29" s="128" t="inlineStr">
        <is>
          <t>Reg S-P</t>
        </is>
      </c>
      <c r="D29" s="128" t="inlineStr">
        <is>
          <t>302</t>
        </is>
      </c>
      <c r="E29" s="128" t="inlineStr">
        <is>
          <t>501(b)</t>
        </is>
      </c>
      <c r="F29" s="128" t="inlineStr">
        <is>
          <t>Data Controls</t>
        </is>
      </c>
      <c r="G29" s="128" t="inlineStr">
        <is>
          <t>Data Controls</t>
        </is>
      </c>
    </row>
    <row r="30">
      <c r="A30" s="128" t="inlineStr">
        <is>
          <t>Site Access Reviews (4.2)</t>
        </is>
      </c>
      <c r="B30" s="128" t="inlineStr">
        <is>
          <t>4511</t>
        </is>
      </c>
      <c r="C30" s="128" t="inlineStr">
        <is>
          <t>17a-4</t>
        </is>
      </c>
      <c r="D30" s="128" t="inlineStr">
        <is>
          <t>302/404</t>
        </is>
      </c>
      <c r="E30" s="128" t="inlineStr">
        <is>
          <t>501(b)</t>
        </is>
      </c>
      <c r="F30" s="128" t="inlineStr">
        <is>
          <t>Access Controls</t>
        </is>
      </c>
      <c r="G30" s="128" t="inlineStr">
        <is>
          <t>Access Controls</t>
        </is>
      </c>
    </row>
    <row r="31">
      <c r="A31" s="128" t="inlineStr">
        <is>
          <t>Block Download Policy (4.3)</t>
        </is>
      </c>
      <c r="B31" s="128" t="inlineStr">
        <is>
          <t>4511</t>
        </is>
      </c>
      <c r="C31" s="128" t="inlineStr">
        <is>
          <t>Reg S-P</t>
        </is>
      </c>
      <c r="D31" s="128" t="inlineStr">
        <is>
          <t>302</t>
        </is>
      </c>
      <c r="E31" s="128" t="inlineStr">
        <is>
          <t>501(b)</t>
        </is>
      </c>
      <c r="F31" s="128" t="inlineStr">
        <is>
          <t>Data Controls</t>
        </is>
      </c>
      <c r="G31" s="128" t="inlineStr">
        <is>
          <t>Data Controls</t>
        </is>
      </c>
    </row>
    <row r="32">
      <c r="A32" s="128" t="inlineStr">
        <is>
          <t>Agent Insight Reports (4.4)</t>
        </is>
      </c>
      <c r="B32" s="128" t="inlineStr">
        <is>
          <t>4511</t>
        </is>
      </c>
      <c r="C32" s="128" t="inlineStr">
        <is>
          <t>17a-4</t>
        </is>
      </c>
      <c r="D32" s="128" t="inlineStr">
        <is>
          <t>302</t>
        </is>
      </c>
      <c r="E32" s="128" t="inlineStr">
        <is>
          <t>501(b)</t>
        </is>
      </c>
      <c r="F32" s="128" t="inlineStr">
        <is>
          <t>Model Monitoring</t>
        </is>
      </c>
      <c r="G32" s="128" t="inlineStr">
        <is>
          <t>Ongoing Monitoring</t>
        </is>
      </c>
    </row>
    <row r="33">
      <c r="A33" s="128" t="inlineStr">
        <is>
          <t>Site Sharing Restrictions (4.5)</t>
        </is>
      </c>
      <c r="B33" s="128" t="inlineStr">
        <is>
          <t>4511</t>
        </is>
      </c>
      <c r="C33" s="128" t="inlineStr">
        <is>
          <t>Reg S-P</t>
        </is>
      </c>
      <c r="D33" s="128" t="inlineStr">
        <is>
          <t>302</t>
        </is>
      </c>
      <c r="E33" s="128" t="inlineStr">
        <is>
          <t>501(b)</t>
        </is>
      </c>
      <c r="F33" s="128" t="inlineStr">
        <is>
          <t>Access Controls</t>
        </is>
      </c>
      <c r="G33" s="128" t="inlineStr">
        <is>
          <t>Access Controls</t>
        </is>
      </c>
    </row>
    <row r="34">
      <c r="A34" s="128" t="inlineStr">
        <is>
          <t>Skills and Plugins Controls (2.11)</t>
        </is>
      </c>
      <c r="B34" s="128" t="inlineStr">
        <is>
          <t>Reg Notice 25-07</t>
        </is>
      </c>
      <c r="C34" s="128" t="inlineStr">
        <is>
          <t>AI priorities</t>
        </is>
      </c>
      <c r="D34" s="128" t="inlineStr">
        <is>
          <t>302</t>
        </is>
      </c>
      <c r="E34" s="128" t="inlineStr">
        <is>
          <t>501(b)</t>
        </is>
      </c>
      <c r="F34" s="128" t="inlineStr">
        <is>
          <t>Model Risk</t>
        </is>
      </c>
      <c r="G34" s="128" t="inlineStr">
        <is>
          <t>Model Risk</t>
        </is>
      </c>
    </row>
    <row r="35">
      <c r="A35" s="128" t="inlineStr">
        <is>
          <t>Autonomous Agent Controls (2.12)</t>
        </is>
      </c>
      <c r="B35" s="128" t="inlineStr">
        <is>
          <t>Reg Notice 25-07</t>
        </is>
      </c>
      <c r="C35" s="128" t="inlineStr">
        <is>
          <t>AI priorities</t>
        </is>
      </c>
      <c r="D35" s="128" t="inlineStr">
        <is>
          <t>302/404</t>
        </is>
      </c>
      <c r="E35" s="128" t="inlineStr">
        <is>
          <t>501(b)</t>
        </is>
      </c>
      <c r="F35" s="128" t="inlineStr">
        <is>
          <t>2011-12 (Full)</t>
        </is>
      </c>
      <c r="G35" s="128" t="inlineStr">
        <is>
          <t>SR 11-7 (Full)</t>
        </is>
      </c>
    </row>
    <row r="36">
      <c r="A36" s="128" t="inlineStr">
        <is>
          <t>Agent Authentication Rules (2.13)</t>
        </is>
      </c>
      <c r="B36" s="128" t="inlineStr">
        <is>
          <t>4511</t>
        </is>
      </c>
      <c r="C36" s="128" t="inlineStr">
        <is>
          <t>17a-4</t>
        </is>
      </c>
      <c r="D36" s="128" t="inlineStr">
        <is>
          <t>302</t>
        </is>
      </c>
      <c r="E36" s="128" t="inlineStr">
        <is>
          <t>501(b)</t>
        </is>
      </c>
      <c r="F36" s="128" t="inlineStr">
        <is>
          <t>Access Controls</t>
        </is>
      </c>
      <c r="G36" s="128" t="inlineStr">
        <is>
          <t>Access Controls</t>
        </is>
      </c>
    </row>
    <row r="37">
      <c r="A37" s="128" t="inlineStr">
        <is>
          <t>Agent Channels Rules (2.14)</t>
        </is>
      </c>
      <c r="B37" s="128" t="inlineStr">
        <is>
          <t>4511</t>
        </is>
      </c>
      <c r="C37" s="128" t="inlineStr">
        <is>
          <t>Reg S-P</t>
        </is>
      </c>
      <c r="D37" s="128" t="inlineStr">
        <is>
          <t>302</t>
        </is>
      </c>
      <c r="E37" s="128" t="inlineStr">
        <is>
          <t>501(b)</t>
        </is>
      </c>
      <c r="F37" s="128" t="inlineStr">
        <is>
          <t>Data Controls</t>
        </is>
      </c>
      <c r="G37" s="128" t="inlineStr">
        <is>
          <t>Data Controls</t>
        </is>
      </c>
    </row>
    <row r="38">
      <c r="A38" s="62" t="inlineStr">
        <is>
          <t>REGULATORY REQUIREMENT SUMMARY</t>
        </is>
      </c>
      <c r="B38" s="127" t="n"/>
      <c r="C38" s="127" t="n"/>
      <c r="D38" s="127" t="n"/>
      <c r="E38" s="127" t="n"/>
    </row>
    <row r="39">
      <c r="A39" s="5" t="inlineStr">
        <is>
          <t>Regulation</t>
        </is>
      </c>
      <c r="B39" s="5" t="inlineStr">
        <is>
          <t>Key Requirements</t>
        </is>
      </c>
      <c r="C39" s="5" t="inlineStr">
        <is>
          <t>FSI Implementation</t>
        </is>
      </c>
      <c r="D39" s="5" t="inlineStr">
        <is>
          <t>Notes</t>
        </is>
      </c>
      <c r="E39" s="5" t="inlineStr">
        <is>
          <t>Priority</t>
        </is>
      </c>
      <c r="F39" s="5" t="inlineStr">
        <is>
          <t>Penalty Risk</t>
        </is>
      </c>
      <c r="G39" s="5" t="inlineStr">
        <is>
          <t>Exam Focus Level</t>
        </is>
      </c>
    </row>
    <row r="40">
      <c r="A40" s="2" t="inlineStr">
        <is>
          <t>FINRA Rule 4511</t>
        </is>
      </c>
      <c r="B40" s="2" t="inlineStr">
        <is>
          <t>Establish policies and controls for technology systems, effective supervision</t>
        </is>
      </c>
      <c r="C40" s="2" t="inlineStr">
        <is>
          <t>Governance framework, agent publishing restrictions, ALM with pipelines, audit logging</t>
        </is>
      </c>
      <c r="D40" s="2" t="n"/>
      <c r="E40" s="2" t="n"/>
      <c r="F40" s="2" t="inlineStr">
        <is>
          <t>Fines, Censure, Suspension</t>
        </is>
      </c>
      <c r="G40" s="2" t="inlineStr">
        <is>
          <t>HIGH</t>
        </is>
      </c>
    </row>
    <row r="41">
      <c r="A41" s="2" t="inlineStr">
        <is>
          <t>FINRA Regulatory Notice 25-07</t>
        </is>
      </c>
      <c r="B41" s="2" t="inlineStr">
        <is>
          <t>Request for comment on modernizing FINRA rules, guidance, and processes for modern member workplaces. Discusses AI/GenAI as an emerging technology area (NOT prescriptive AI supervision guidance). Requires documentation of existing governance processes (Rule 3110 supervision, Rule 4511 recordkeeping, training per Rule 4512) to remain current for AI use.</t>
        </is>
      </c>
      <c r="C41" s="2" t="inlineStr">
        <is>
          <t>Use as a trigger to keep documented governance, supervision, recordkeeping, and training processes current for emerging technologies (including AI).</t>
        </is>
      </c>
      <c r="D41" s="2" t="n"/>
      <c r="E41" s="2" t="n"/>
      <c r="F41" s="2" t="inlineStr">
        <is>
          <t>Fines, Censure, Suspension</t>
        </is>
      </c>
      <c r="G41" s="2" t="inlineStr">
        <is>
          <t>CRITICAL</t>
        </is>
      </c>
    </row>
    <row r="42">
      <c r="A42" s="2" t="inlineStr">
        <is>
          <t>SEC Division of Examinations AI Priorities</t>
        </is>
      </c>
      <c r="B42" s="2" t="inlineStr">
        <is>
          <t>SEC examination priorities include AI governance, model risk management, cybersecurity controls, and disclosure requirements for AI use in advisory and trading.</t>
        </is>
      </c>
      <c r="C42" s="2" t="inlineStr">
        <is>
          <t>Implement governance framework per this workbook; maintain audit trails per 17a-3/4; document AI risk assessments; ensure proper disclosures.</t>
        </is>
      </c>
      <c r="D42" s="2" t="n"/>
      <c r="E42" s="2" t="n"/>
      <c r="F42" s="2" t="inlineStr">
        <is>
          <t>Civil penalties, Disgorgement</t>
        </is>
      </c>
      <c r="G42" s="2" t="inlineStr">
        <is>
          <t>HIGH</t>
        </is>
      </c>
    </row>
    <row r="43">
      <c r="A43" s="2" t="inlineStr">
        <is>
          <t>SEC Rule 17a-3/4</t>
        </is>
      </c>
      <c r="B43" s="2" t="inlineStr">
        <is>
          <t>Maintain books and records for 6+ years, first 2 years readily accessible</t>
        </is>
      </c>
      <c r="C43" s="2" t="inlineStr">
        <is>
          <t>10-year retention for production agents, audit logging, weekly review process</t>
        </is>
      </c>
      <c r="D43" s="2" t="n"/>
      <c r="E43" s="2" t="n"/>
      <c r="F43" s="2" t="inlineStr">
        <is>
          <t>Civil penalties, Disgorgement</t>
        </is>
      </c>
      <c r="G43" s="2" t="inlineStr">
        <is>
          <t>HIGH</t>
        </is>
      </c>
    </row>
    <row r="44">
      <c r="A44" s="2" t="inlineStr">
        <is>
          <t>SOX 302/404</t>
        </is>
      </c>
      <c r="B44" s="2" t="inlineStr">
        <is>
          <t>Effective internal controls, documentation, testing, management certification</t>
        </is>
      </c>
      <c r="C44" s="2" t="inlineStr">
        <is>
          <t>Environment groups, pipelines with approvals, comprehensive audit logging, monitoring</t>
        </is>
      </c>
      <c r="D44" s="2" t="n"/>
      <c r="E44" s="2" t="n"/>
      <c r="F44" s="2" t="inlineStr">
        <is>
          <t>Criminal penalties, Officer certification</t>
        </is>
      </c>
      <c r="G44" s="2" t="inlineStr">
        <is>
          <t>HIGH</t>
        </is>
      </c>
    </row>
    <row r="45">
      <c r="A45" s="2" t="inlineStr">
        <is>
          <t>GLBA 501/504/505</t>
        </is>
      </c>
      <c r="B45" s="2" t="inlineStr">
        <is>
          <t>Comprehensive information security program, data access controls, incident response</t>
        </is>
      </c>
      <c r="C45" s="2" t="inlineStr">
        <is>
          <t>DLP policies, SharePoint permissions, DSPM for AI, runtime protection, breach notification procedures</t>
        </is>
      </c>
      <c r="D45" s="2" t="n"/>
      <c r="E45" s="2" t="n"/>
      <c r="F45" s="2" t="inlineStr">
        <is>
          <t>Civil penalties, Injunctions</t>
        </is>
      </c>
      <c r="G45" s="2" t="inlineStr">
        <is>
          <t>MEDIUM</t>
        </is>
      </c>
    </row>
    <row r="46">
      <c r="A46" s="2" t="inlineStr">
        <is>
          <t>OCC Bulletin 2011-12 (SR 11-7)</t>
        </is>
      </c>
      <c r="B46" s="2" t="inlineStr">
        <is>
          <t>Model Risk Management framework for banks using quantitative models; covers model development, validation, governance, and ongoing monitoring</t>
        </is>
      </c>
      <c r="C46" s="2" t="inlineStr">
        <is>
          <t>Zone 3 agents using ML/statistical models require: model inventory, validation testing, performance monitoring, documented governance</t>
        </is>
      </c>
      <c r="D46" s="2" t="inlineStr">
        <is>
          <t>Applicable to national banks and federal savings associations</t>
        </is>
      </c>
      <c r="E46" s="2" t="n"/>
      <c r="F46" s="2" t="inlineStr">
        <is>
          <t>Enforcement actions, MOUs, Consent Orders</t>
        </is>
      </c>
      <c r="G46" s="2" t="inlineStr">
        <is>
          <t>HIGH</t>
        </is>
      </c>
    </row>
    <row r="47">
      <c r="A47" s="2" t="inlineStr">
        <is>
          <t>Federal Reserve SR 11-7</t>
        </is>
      </c>
      <c r="B47" s="2" t="inlineStr">
        <is>
          <t>Model Risk Management guidance for bank holding companies; requires model validation, governance, ongoing monitoring for quantitative models</t>
        </is>
      </c>
      <c r="C47" s="2" t="inlineStr">
        <is>
          <t>Zone 3 AI agents using ML models require: documented model development, independent validation, performance monitoring, governance framework</t>
        </is>
      </c>
      <c r="D47" s="2" t="inlineStr">
        <is>
          <t>Applicable to bank holding companies and state member banks</t>
        </is>
      </c>
      <c r="E47" s="2" t="n"/>
      <c r="F47" s="2" t="inlineStr">
        <is>
          <t>Enforcement actions, MRAs, MRIAs</t>
        </is>
      </c>
      <c r="G47" s="2" t="inlineStr">
        <is>
          <t>HIGH</t>
        </is>
      </c>
    </row>
    <row r="48">
      <c r="A48" s="128" t="inlineStr">
        <is>
          <t>OCC Bulletin 2011-12</t>
        </is>
      </c>
      <c r="B48" s="128" t="inlineStr">
        <is>
          <t>Model Risk Management guidance requiring model inventory, validation, and ongoing monitoring for all models used in bank operations.</t>
        </is>
      </c>
      <c r="C48" s="128" t="inlineStr">
        <is>
          <t>Agent inventory, AI model documentation, validation procedures, ongoing performance monitoring.</t>
        </is>
      </c>
      <c r="D48" s="128" t="inlineStr">
        <is>
          <t>AI agents are models requiring MRM</t>
        </is>
      </c>
      <c r="E48" s="128" t="inlineStr">
        <is>
          <t>HIGH</t>
        </is>
      </c>
      <c r="F48" s="128" t="inlineStr">
        <is>
          <t>Civil Money Penalties, MRAs</t>
        </is>
      </c>
      <c r="G48" s="128" t="inlineStr">
        <is>
          <t>CRITICAL</t>
        </is>
      </c>
    </row>
    <row r="49">
      <c r="A49" s="128" t="inlineStr">
        <is>
          <t>Fed SR 11-7</t>
        </is>
      </c>
      <c r="B49" s="128" t="inlineStr">
        <is>
          <t>Supervisory guidance on model risk management for banking organizations, emphasizing model validation and ongoing monitoring.</t>
        </is>
      </c>
      <c r="C49" s="128" t="inlineStr">
        <is>
          <t>Model risk governance, independent validation, documentation standards, change management for AI agents.</t>
        </is>
      </c>
      <c r="D49" s="128" t="inlineStr">
        <is>
          <t>Applies to all FRB-supervised banks</t>
        </is>
      </c>
      <c r="E49" s="128" t="inlineStr">
        <is>
          <t>HIGH</t>
        </is>
      </c>
      <c r="F49" s="128" t="inlineStr">
        <is>
          <t>MRAs, Enforcement actions</t>
        </is>
      </c>
      <c r="G49" s="128" t="inlineStr">
        <is>
          <t>CRITICAL</t>
        </is>
      </c>
    </row>
    <row r="52">
      <c r="A52" s="161" t="inlineStr">
        <is>
          <t>RETENTION REQUIREMENTS BY REGULATION</t>
        </is>
      </c>
    </row>
    <row r="53">
      <c r="A53" s="139" t="inlineStr">
        <is>
          <t>Record Type</t>
        </is>
      </c>
      <c r="B53" s="139" t="inlineStr">
        <is>
          <t>FINRA</t>
        </is>
      </c>
      <c r="C53" s="139" t="inlineStr">
        <is>
          <t>SEC</t>
        </is>
      </c>
      <c r="D53" s="139" t="inlineStr">
        <is>
          <t>SOX</t>
        </is>
      </c>
      <c r="E53" s="139" t="inlineStr">
        <is>
          <t>GLBA</t>
        </is>
      </c>
      <c r="F53" s="139" t="inlineStr">
        <is>
          <t>Recommended</t>
        </is>
      </c>
      <c r="G53" s="139" t="inlineStr">
        <is>
          <t>Control</t>
        </is>
      </c>
    </row>
    <row r="54">
      <c r="A54" s="128" t="inlineStr">
        <is>
          <t>Agent Transcripts</t>
        </is>
      </c>
      <c r="B54" s="128" t="inlineStr">
        <is>
          <t>6 years</t>
        </is>
      </c>
      <c r="C54" s="128" t="inlineStr">
        <is>
          <t>6 years</t>
        </is>
      </c>
      <c r="D54" s="128" t="inlineStr">
        <is>
          <t>7 years</t>
        </is>
      </c>
      <c r="E54" s="128" t="inlineStr">
        <is>
          <t>5 years</t>
        </is>
      </c>
      <c r="F54" s="128" t="inlineStr">
        <is>
          <t>7 years</t>
        </is>
      </c>
      <c r="G54" s="128" t="inlineStr">
        <is>
          <t>1.9, 2.9</t>
        </is>
      </c>
    </row>
    <row r="55">
      <c r="A55" s="128" t="inlineStr">
        <is>
          <t>Audit Logs</t>
        </is>
      </c>
      <c r="B55" s="128" t="inlineStr">
        <is>
          <t>6 years</t>
        </is>
      </c>
      <c r="C55" s="128" t="inlineStr">
        <is>
          <t>6 years</t>
        </is>
      </c>
      <c r="D55" s="128" t="inlineStr">
        <is>
          <t>7 years</t>
        </is>
      </c>
      <c r="E55" s="128" t="inlineStr">
        <is>
          <t>5 years</t>
        </is>
      </c>
      <c r="F55" s="128" t="inlineStr">
        <is>
          <t>7-10 years</t>
        </is>
      </c>
      <c r="G55" s="128" t="inlineStr">
        <is>
          <t>1.7</t>
        </is>
      </c>
    </row>
    <row r="56">
      <c r="A56" s="128" t="inlineStr">
        <is>
          <t>Agent Configuration</t>
        </is>
      </c>
      <c r="B56" s="128" t="inlineStr">
        <is>
          <t>6 years</t>
        </is>
      </c>
      <c r="C56" s="128" t="inlineStr">
        <is>
          <t>6 years</t>
        </is>
      </c>
      <c r="D56" s="128" t="inlineStr">
        <is>
          <t>7 years</t>
        </is>
      </c>
      <c r="E56" s="128" t="inlineStr">
        <is>
          <t>5 years</t>
        </is>
      </c>
      <c r="F56" s="128" t="inlineStr">
        <is>
          <t>7 years</t>
        </is>
      </c>
      <c r="G56" s="128" t="inlineStr">
        <is>
          <t>2.4</t>
        </is>
      </c>
    </row>
    <row r="57">
      <c r="A57" s="128" t="inlineStr">
        <is>
          <t>DLP Policy Logs</t>
        </is>
      </c>
      <c r="B57" s="128" t="inlineStr">
        <is>
          <t>6 years</t>
        </is>
      </c>
      <c r="C57" s="128" t="inlineStr">
        <is>
          <t>6 years</t>
        </is>
      </c>
      <c r="D57" s="128" t="inlineStr">
        <is>
          <t>7 years</t>
        </is>
      </c>
      <c r="E57" s="128" t="inlineStr">
        <is>
          <t>5 years</t>
        </is>
      </c>
      <c r="F57" s="128" t="inlineStr">
        <is>
          <t>7 years</t>
        </is>
      </c>
      <c r="G57" s="128" t="inlineStr">
        <is>
          <t>1.5</t>
        </is>
      </c>
    </row>
    <row r="58">
      <c r="A58" s="128" t="inlineStr">
        <is>
          <t>Communication Compliance</t>
        </is>
      </c>
      <c r="B58" s="128" t="inlineStr">
        <is>
          <t>6 years</t>
        </is>
      </c>
      <c r="C58" s="128" t="inlineStr">
        <is>
          <t>6 years</t>
        </is>
      </c>
      <c r="D58" s="128" t="inlineStr">
        <is>
          <t>7 years</t>
        </is>
      </c>
      <c r="E58" s="128" t="inlineStr">
        <is>
          <t>5 years</t>
        </is>
      </c>
      <c r="F58" s="128" t="inlineStr">
        <is>
          <t>7 years</t>
        </is>
      </c>
      <c r="G58" s="128" t="inlineStr">
        <is>
          <t>1.10</t>
        </is>
      </c>
    </row>
    <row r="59">
      <c r="A59" s="128" t="inlineStr">
        <is>
          <t>Insider Risk Alerts</t>
        </is>
      </c>
      <c r="B59" s="128" t="inlineStr">
        <is>
          <t>6 years</t>
        </is>
      </c>
      <c r="C59" s="128" t="inlineStr">
        <is>
          <t>6 years</t>
        </is>
      </c>
      <c r="D59" s="128" t="inlineStr">
        <is>
          <t>7 years</t>
        </is>
      </c>
      <c r="E59" s="128" t="inlineStr">
        <is>
          <t>5 years</t>
        </is>
      </c>
      <c r="F59" s="128" t="inlineStr">
        <is>
          <t>7 years</t>
        </is>
      </c>
      <c r="G59" s="128" t="inlineStr">
        <is>
          <t>1.12</t>
        </is>
      </c>
    </row>
    <row r="60">
      <c r="A60" s="128" t="inlineStr">
        <is>
          <t>Access Reviews</t>
        </is>
      </c>
      <c r="B60" s="128" t="inlineStr">
        <is>
          <t>6 years</t>
        </is>
      </c>
      <c r="C60" s="128" t="inlineStr">
        <is>
          <t>6 years</t>
        </is>
      </c>
      <c r="D60" s="128" t="inlineStr">
        <is>
          <t>7 years</t>
        </is>
      </c>
      <c r="E60" s="128" t="inlineStr">
        <is>
          <t>5 years</t>
        </is>
      </c>
      <c r="F60" s="128" t="inlineStr">
        <is>
          <t>7 years</t>
        </is>
      </c>
      <c r="G60" s="128" t="inlineStr">
        <is>
          <t>4.2</t>
        </is>
      </c>
    </row>
    <row r="61">
      <c r="A61" s="128" t="inlineStr">
        <is>
          <t>Cost/Billing Records</t>
        </is>
      </c>
      <c r="B61" s="128" t="inlineStr">
        <is>
          <t>6 years</t>
        </is>
      </c>
      <c r="C61" s="128" t="inlineStr">
        <is>
          <t>6 years</t>
        </is>
      </c>
      <c r="D61" s="128" t="inlineStr">
        <is>
          <t>7 years</t>
        </is>
      </c>
      <c r="E61" s="128" t="inlineStr">
        <is>
          <t>5 years</t>
        </is>
      </c>
      <c r="F61" s="128" t="inlineStr">
        <is>
          <t>7 years</t>
        </is>
      </c>
      <c r="G61" s="128" t="inlineStr">
        <is>
          <t>3.5</t>
        </is>
      </c>
    </row>
    <row r="64">
      <c r="A64" s="161" t="inlineStr">
        <is>
          <t>CONTROL COVERAGE SUMMARY BY PILLAR</t>
        </is>
      </c>
    </row>
    <row r="65">
      <c r="A65" s="139" t="inlineStr">
        <is>
          <t>Pillar</t>
        </is>
      </c>
      <c r="B65" s="139" t="inlineStr">
        <is>
          <t>Controls</t>
        </is>
      </c>
      <c r="C65" s="139" t="inlineStr">
        <is>
          <t>FINRA</t>
        </is>
      </c>
      <c r="D65" s="139" t="inlineStr">
        <is>
          <t>SEC</t>
        </is>
      </c>
      <c r="E65" s="139" t="inlineStr">
        <is>
          <t>SOX</t>
        </is>
      </c>
      <c r="F65" s="139" t="inlineStr">
        <is>
          <t>GLBA</t>
        </is>
      </c>
      <c r="G65" s="139" t="inlineStr">
        <is>
          <t>OCC/Fed</t>
        </is>
      </c>
    </row>
    <row r="66">
      <c r="A66" s="128" t="inlineStr">
        <is>
          <t>Pillar 1: Security</t>
        </is>
      </c>
      <c r="B66" s="128" t="inlineStr">
        <is>
          <t>18</t>
        </is>
      </c>
      <c r="C66" s="128" t="inlineStr">
        <is>
          <t>18/18</t>
        </is>
      </c>
      <c r="D66" s="128" t="inlineStr">
        <is>
          <t>16/18</t>
        </is>
      </c>
      <c r="E66" s="128" t="inlineStr">
        <is>
          <t>15/18</t>
        </is>
      </c>
      <c r="F66" s="128" t="inlineStr">
        <is>
          <t>17/18</t>
        </is>
      </c>
      <c r="G66" s="128" t="inlineStr">
        <is>
          <t>12/18</t>
        </is>
      </c>
    </row>
    <row r="67">
      <c r="A67" s="128" t="inlineStr">
        <is>
          <t>Pillar 2: Management</t>
        </is>
      </c>
      <c r="B67" s="128" t="inlineStr">
        <is>
          <t>14</t>
        </is>
      </c>
      <c r="C67" s="128" t="inlineStr">
        <is>
          <t>14/14</t>
        </is>
      </c>
      <c r="D67" s="128" t="inlineStr">
        <is>
          <t>12/14</t>
        </is>
      </c>
      <c r="E67" s="128" t="inlineStr">
        <is>
          <t>12/14</t>
        </is>
      </c>
      <c r="F67" s="128" t="inlineStr">
        <is>
          <t>13/14</t>
        </is>
      </c>
      <c r="G67" s="128" t="inlineStr">
        <is>
          <t>10/14</t>
        </is>
      </c>
    </row>
    <row r="68">
      <c r="A68" s="128" t="inlineStr">
        <is>
          <t>Pillar 3: Reporting</t>
        </is>
      </c>
      <c r="B68" s="128" t="inlineStr">
        <is>
          <t>6</t>
        </is>
      </c>
      <c r="C68" s="128" t="inlineStr">
        <is>
          <t>6/6</t>
        </is>
      </c>
      <c r="D68" s="128" t="inlineStr">
        <is>
          <t>5/6</t>
        </is>
      </c>
      <c r="E68" s="128" t="inlineStr">
        <is>
          <t>5/6</t>
        </is>
      </c>
      <c r="F68" s="128" t="inlineStr">
        <is>
          <t>5/6</t>
        </is>
      </c>
      <c r="G68" s="128" t="inlineStr">
        <is>
          <t>2/6</t>
        </is>
      </c>
    </row>
    <row r="69">
      <c r="A69" s="128" t="inlineStr">
        <is>
          <t>Pillar 4: SharePoint</t>
        </is>
      </c>
      <c r="B69" s="128" t="inlineStr">
        <is>
          <t>5</t>
        </is>
      </c>
      <c r="C69" s="128" t="inlineStr">
        <is>
          <t>5/5</t>
        </is>
      </c>
      <c r="D69" s="128" t="inlineStr">
        <is>
          <t>5/5</t>
        </is>
      </c>
      <c r="E69" s="128" t="inlineStr">
        <is>
          <t>3/5</t>
        </is>
      </c>
      <c r="F69" s="128" t="inlineStr">
        <is>
          <t>5/5</t>
        </is>
      </c>
      <c r="G69" s="128" t="inlineStr">
        <is>
          <t>1/5</t>
        </is>
      </c>
    </row>
    <row r="70">
      <c r="A70" s="139" t="inlineStr">
        <is>
          <t>TOTAL</t>
        </is>
      </c>
      <c r="B70" s="139" t="inlineStr">
        <is>
          <t>43</t>
        </is>
      </c>
      <c r="C70" s="139" t="inlineStr">
        <is>
          <t>43/43 (100%)</t>
        </is>
      </c>
      <c r="D70" s="139" t="inlineStr">
        <is>
          <t>38/43 (88%)</t>
        </is>
      </c>
      <c r="E70" s="139" t="inlineStr">
        <is>
          <t>35/43 (81%)</t>
        </is>
      </c>
      <c r="F70" s="139" t="inlineStr">
        <is>
          <t>40/43 (93%)</t>
        </is>
      </c>
      <c r="G70" s="139" t="inlineStr">
        <is>
          <t>25/43 (58%)</t>
        </is>
      </c>
    </row>
    <row r="72">
      <c r="A72" s="166" t="inlineStr">
        <is>
          <t>FINRA 2026 AI Exam Priority</t>
        </is>
      </c>
      <c r="B72" s="166" t="inlineStr">
        <is>
          <t>AI/ML Governance</t>
        </is>
      </c>
      <c r="C72" s="166" t="inlineStr">
        <is>
          <t>Per underlying rule</t>
        </is>
      </c>
      <c r="D72" s="166" t="inlineStr">
        <is>
          <t>1.10, 1.12, 2.11, 2.12, 3.1, 3.2</t>
        </is>
      </c>
      <c r="E72" s="166" t="inlineStr">
        <is>
          <t>Supervision</t>
        </is>
      </c>
      <c r="F72" s="166" t="inlineStr">
        <is>
          <t>Model Inventory</t>
        </is>
      </c>
      <c r="G72" s="166" t="inlineStr">
        <is>
          <t>Model Risk Mgmt</t>
        </is>
      </c>
    </row>
    <row r="75">
      <c r="A75" s="167" t="inlineStr">
        <is>
          <t>FINRA 2026 REGULATORY UPDATES</t>
        </is>
      </c>
    </row>
    <row r="76">
      <c r="A76" s="168" t="inlineStr">
        <is>
          <t>FINRA 3110 Update:</t>
        </is>
      </c>
      <c r="B76" s="64" t="inlineStr">
        <is>
          <t>Ensure "Human-in-the-Loop" reviews for autonomous agent actions per 2026 Oversight Report. Document: (1) autonomous vs. human-approved actions, (2) escalation thresholds, (3) supervisory review procedures. See Controls 2.11, 2.12.</t>
        </is>
      </c>
    </row>
    <row r="77">
      <c r="A77" s="168" t="inlineStr">
        <is>
          <t>SEC 17a-4 Update:</t>
        </is>
      </c>
      <c r="B77" s="64" t="inlineStr">
        <is>
          <t>Capture full "Chain of Thought" reasoning logs where available, not just final agent outputs. Configure Purview retention for "Enterprise AI apps" location. See Controls 1.9, 2.9.</t>
        </is>
      </c>
    </row>
    <row r="78">
      <c r="A78" s="168" t="inlineStr">
        <is>
          <t>OCC 2011-12 Update:</t>
        </is>
      </c>
      <c r="B78" s="64" t="inlineStr">
        <is>
          <t>Zone 3 agents generating recommendations or decisions may qualify as 'models' requiring SR 11-7/OCC 2011-12 compliance. Conduct model risk assessment for Zone 3 agents.</t>
        </is>
      </c>
    </row>
    <row r="79">
      <c r="A79" s="168" t="inlineStr">
        <is>
          <t>Fed SR 11-7 Update:</t>
        </is>
      </c>
      <c r="B79" s="64" t="inlineStr">
        <is>
          <t>AI agents are increasingly within scope of model risk management expectations. Assess model classification, document validation methodology, implement accuracy/drift monitoring.</t>
        </is>
      </c>
    </row>
  </sheetData>
  <mergeCells count="9">
    <mergeCell ref="B76:G76"/>
    <mergeCell ref="B79:G79"/>
    <mergeCell ref="A1:E1"/>
    <mergeCell ref="A64:G64"/>
    <mergeCell ref="A52:G52"/>
    <mergeCell ref="A14:E14"/>
    <mergeCell ref="B78:G78"/>
    <mergeCell ref="B77:G77"/>
    <mergeCell ref="A75:G75"/>
  </mergeCells>
  <conditionalFormatting sqref="G16:G23">
    <cfRule type="containsText" priority="1" operator="containsText" dxfId="72" text="CRITICAL">
      <formula>NOT(ISERROR(SEARCH("CRITICAL",G16)))</formula>
    </cfRule>
    <cfRule type="containsText" priority="2" operator="containsText" dxfId="44" text="HIGH">
      <formula>NOT(ISERROR(SEARCH("HIGH",G16)))</formula>
    </cfRule>
    <cfRule type="containsText" priority="3" operator="containsText" dxfId="43" text="MEDIUM">
      <formula>NOT(ISERROR(SEARCH("MEDIUM",G16)))</formula>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F54"/>
  <sheetViews>
    <sheetView workbookViewId="0">
      <selection activeCell="C8" sqref="C8"/>
    </sheetView>
  </sheetViews>
  <sheetFormatPr baseColWidth="8" defaultRowHeight="14.45"/>
  <cols>
    <col width="24.7109375" customWidth="1" style="101" min="1" max="1"/>
    <col width="57.140625" customWidth="1" style="101" min="2" max="2"/>
    <col width="47.5703125" customWidth="1" style="101" min="3" max="3"/>
    <col width="19" customWidth="1" style="101" min="4" max="5"/>
    <col width="17.140625" customWidth="1" style="101" min="6" max="6"/>
  </cols>
  <sheetData>
    <row r="1" ht="35.25" customHeight="1" s="101">
      <c r="A1" s="107" t="inlineStr">
        <is>
          <t>REGULATORY EXAMINATION PREPARATION GUIDE</t>
        </is>
      </c>
    </row>
    <row r="2">
      <c r="A2" s="108" t="inlineStr">
        <is>
          <t>Common auditor questions and evidence requirements for AI agent governance in Financial Services</t>
        </is>
      </c>
    </row>
    <row r="4" ht="24.75" customHeight="1" s="101">
      <c r="A4" s="122" t="inlineStr">
        <is>
          <t>FINRA EXAMINATION QUESTIONS</t>
        </is>
      </c>
    </row>
    <row r="5">
      <c r="A5" s="19" t="inlineStr">
        <is>
          <t>Question Area</t>
        </is>
      </c>
      <c r="B5" s="19" t="inlineStr">
        <is>
          <t>Likely Auditor Question</t>
        </is>
      </c>
      <c r="C5" s="19" t="inlineStr">
        <is>
          <t>Evidence to Provide</t>
        </is>
      </c>
      <c r="D5" s="19" t="inlineStr">
        <is>
          <t>Source Sheet</t>
        </is>
      </c>
      <c r="E5" s="19" t="inlineStr">
        <is>
          <t>Regulation Reference</t>
        </is>
      </c>
      <c r="F5" s="19" t="inlineStr">
        <is>
          <t>Priority</t>
        </is>
      </c>
    </row>
    <row r="6" ht="50.25" customHeight="1" s="101">
      <c r="A6" t="inlineStr">
        <is>
          <t>AI Inventory</t>
        </is>
      </c>
      <c r="B6" s="64" t="inlineStr">
        <is>
          <t>Can you provide a complete inventory of all AI agents deployed in your organization?</t>
        </is>
      </c>
      <c r="C6" s="64" t="inlineStr">
        <is>
          <t>Agent registry export, environment list, agent inventory report</t>
        </is>
      </c>
      <c r="D6" t="inlineStr">
        <is>
          <t>Agent Reporting</t>
        </is>
      </c>
      <c r="E6" t="inlineStr">
        <is>
          <t>FINRA 4511, Reg Notice 25-07</t>
        </is>
      </c>
      <c r="F6" t="inlineStr">
        <is>
          <t>HIGH</t>
        </is>
      </c>
    </row>
    <row r="7" ht="50.25" customHeight="1" s="101">
      <c r="A7" t="inlineStr">
        <is>
          <t>Supervision</t>
        </is>
      </c>
      <c r="B7" s="64" t="inlineStr">
        <is>
          <t>How do you supervise AI agent outputs and interactions?</t>
        </is>
      </c>
      <c r="C7" s="64" t="inlineStr">
        <is>
          <t>DSPM for AI configuration, monitoring dashboards, review procedures</t>
        </is>
      </c>
      <c r="D7" t="inlineStr">
        <is>
          <t>Security Controls</t>
        </is>
      </c>
      <c r="E7" t="inlineStr">
        <is>
          <t>FINRA Rule 3110, Reg Notice 25-07</t>
        </is>
      </c>
      <c r="F7" t="inlineStr">
        <is>
          <t>HIGH</t>
        </is>
      </c>
    </row>
    <row r="8" ht="50.25" customHeight="1" s="101">
      <c r="A8" t="inlineStr">
        <is>
          <t>Risk Assessment</t>
        </is>
      </c>
      <c r="B8" s="64" t="inlineStr">
        <is>
          <t>What risk assessment process did you follow before deploying AI agents?</t>
        </is>
      </c>
      <c r="C8" s="64" t="inlineStr">
        <is>
          <t>Zone classification documentation, risk assessment forms, approval records</t>
        </is>
      </c>
      <c r="D8" t="inlineStr">
        <is>
          <t>Zones Definition</t>
        </is>
      </c>
      <c r="E8" t="inlineStr">
        <is>
          <t>FINRA Rule 3110, Reg Notice 25-07</t>
        </is>
      </c>
      <c r="F8" t="inlineStr">
        <is>
          <t>HIGH</t>
        </is>
      </c>
    </row>
    <row r="9" ht="50.25" customHeight="1" s="101">
      <c r="A9" t="inlineStr">
        <is>
          <t>Controls</t>
        </is>
      </c>
      <c r="B9" s="64" t="inlineStr">
        <is>
          <t>What controls prevent AI agents from accessing or sharing sensitive client data?</t>
        </is>
      </c>
      <c r="C9" s="64" t="inlineStr">
        <is>
          <t>DLP policies, sensitivity labels, connector policies, SharePoint permissions</t>
        </is>
      </c>
      <c r="D9" t="inlineStr">
        <is>
          <t>Security Controls</t>
        </is>
      </c>
      <c r="E9" t="inlineStr">
        <is>
          <t>FINRA 4511</t>
        </is>
      </c>
      <c r="F9" t="inlineStr">
        <is>
          <t>HIGH</t>
        </is>
      </c>
    </row>
    <row r="10" ht="50.25" customHeight="1" s="101">
      <c r="A10" t="inlineStr">
        <is>
          <t>Training</t>
        </is>
      </c>
      <c r="B10" s="64" t="inlineStr">
        <is>
          <t>How do you ensure employees understand AI governance requirements?</t>
        </is>
      </c>
      <c r="C10" s="64" t="inlineStr">
        <is>
          <t>Training completion records, maker welcome content, policy acknowledgments</t>
        </is>
      </c>
      <c r="D10" t="inlineStr">
        <is>
          <t>Management Controls</t>
        </is>
      </c>
      <c r="E10" t="inlineStr">
        <is>
          <t>FINRA 4512</t>
        </is>
      </c>
      <c r="F10" t="inlineStr">
        <is>
          <t>MEDIUM</t>
        </is>
      </c>
    </row>
    <row r="11" ht="50.25" customHeight="1" s="101">
      <c r="A11" t="inlineStr">
        <is>
          <t>Audit Trail</t>
        </is>
      </c>
      <c r="B11" s="64" t="inlineStr">
        <is>
          <t>Can you demonstrate a complete audit trail for AI agent activities?</t>
        </is>
      </c>
      <c r="C11" s="64" t="inlineStr">
        <is>
          <t>Audit log exports, retention policies, eDiscovery configuration</t>
        </is>
      </c>
      <c r="D11" t="inlineStr">
        <is>
          <t>Security Controls</t>
        </is>
      </c>
      <c r="E11" t="inlineStr">
        <is>
          <t>FINRA 4511</t>
        </is>
      </c>
      <c r="F11" t="inlineStr">
        <is>
          <t>HIGH</t>
        </is>
      </c>
    </row>
    <row r="12">
      <c r="B12" s="64" t="n"/>
      <c r="C12" s="64" t="n"/>
    </row>
    <row r="13" ht="24.75" customHeight="1" s="101">
      <c r="A13" s="123" t="inlineStr">
        <is>
          <t>SEC EXAMINATION QUESTIONS</t>
        </is>
      </c>
    </row>
    <row r="14">
      <c r="A14" s="19" t="inlineStr">
        <is>
          <t>Question Area</t>
        </is>
      </c>
      <c r="B14" s="32" t="inlineStr">
        <is>
          <t>Likely Auditor Question</t>
        </is>
      </c>
      <c r="C14" s="32" t="inlineStr">
        <is>
          <t>Evidence to Provide</t>
        </is>
      </c>
      <c r="D14" s="19" t="inlineStr">
        <is>
          <t>Source Sheet</t>
        </is>
      </c>
      <c r="E14" s="19" t="inlineStr">
        <is>
          <t>Regulation Reference</t>
        </is>
      </c>
      <c r="F14" s="19" t="inlineStr">
        <is>
          <t>Priority</t>
        </is>
      </c>
    </row>
    <row r="15" ht="50.25" customHeight="1" s="101">
      <c r="A15" t="inlineStr">
        <is>
          <t>AI Governance</t>
        </is>
      </c>
      <c r="B15" s="64" t="inlineStr">
        <is>
          <t>Describe your AI governance framework and oversight structure.</t>
        </is>
      </c>
      <c r="C15" s="64" t="inlineStr">
        <is>
          <t>This workbook, governance committee charter, RACI matrix, role assignments</t>
        </is>
      </c>
      <c r="D15" t="inlineStr">
        <is>
          <t>Overview, RACI Matrix</t>
        </is>
      </c>
      <c r="E15" t="inlineStr">
        <is>
          <t>SEC Division of Examinations AI priorities</t>
        </is>
      </c>
      <c r="F15" t="inlineStr">
        <is>
          <t>HIGH</t>
        </is>
      </c>
    </row>
    <row r="16" ht="50.25" customHeight="1" s="101">
      <c r="A16" t="inlineStr">
        <is>
          <t>Record Retention</t>
        </is>
      </c>
      <c r="B16" s="64" t="inlineStr">
        <is>
          <t>How do you ensure AI-related records are retained per Rule 17a-4?</t>
        </is>
      </c>
      <c r="C16" s="64" t="inlineStr">
        <is>
          <t>Retention policies, audit log configuration, 10-year archive procedures</t>
        </is>
      </c>
      <c r="D16" t="inlineStr">
        <is>
          <t>Security Controls</t>
        </is>
      </c>
      <c r="E16" t="inlineStr">
        <is>
          <t>SEC 17a-3/4</t>
        </is>
      </c>
      <c r="F16" t="inlineStr">
        <is>
          <t>HIGH</t>
        </is>
      </c>
    </row>
    <row r="17" ht="50.25" customHeight="1" s="101">
      <c r="A17" t="inlineStr">
        <is>
          <t>Incident Response</t>
        </is>
      </c>
      <c r="B17" s="64" t="inlineStr">
        <is>
          <t>What is your incident response plan for AI-related security events?</t>
        </is>
      </c>
      <c r="C17" s="64" t="inlineStr">
        <is>
          <t>Escalation procedures, incident log, runtime protection alerts</t>
        </is>
      </c>
      <c r="D17" t="inlineStr">
        <is>
          <t>Key Contacts</t>
        </is>
      </c>
      <c r="E17" t="inlineStr">
        <is>
          <t>SEC Reg S-P, GLBA 501(b)</t>
        </is>
      </c>
      <c r="F17" t="inlineStr">
        <is>
          <t>HIGH</t>
        </is>
      </c>
    </row>
    <row r="18" ht="50.25" customHeight="1" s="101">
      <c r="A18" t="inlineStr">
        <is>
          <t>Change Management</t>
        </is>
      </c>
      <c r="B18" s="64" t="inlineStr">
        <is>
          <t>How do you control changes to AI agents in production?</t>
        </is>
      </c>
      <c r="C18" s="64" t="inlineStr">
        <is>
          <t>ALM pipeline configuration, approval workflows, environment group rules</t>
        </is>
      </c>
      <c r="D18" t="inlineStr">
        <is>
          <t>Management Controls</t>
        </is>
      </c>
      <c r="E18" t="inlineStr">
        <is>
          <t>SEC Rule 17a-4 (change control)</t>
        </is>
      </c>
      <c r="F18" t="inlineStr">
        <is>
          <t>MEDIUM</t>
        </is>
      </c>
    </row>
    <row r="19" ht="50.25" customHeight="1" s="101">
      <c r="A19" t="inlineStr">
        <is>
          <t>Data Protection</t>
        </is>
      </c>
      <c r="B19" s="64" t="inlineStr">
        <is>
          <t>How do you protect client data processed by AI agents?</t>
        </is>
      </c>
      <c r="C19" s="64" t="inlineStr">
        <is>
          <t>DLP policies, encryption settings, DSPM for AI alerts</t>
        </is>
      </c>
      <c r="D19" t="inlineStr">
        <is>
          <t>Security Controls</t>
        </is>
      </c>
      <c r="E19" t="inlineStr">
        <is>
          <t>SEC Reg S-P (privacy)</t>
        </is>
      </c>
      <c r="F19" t="inlineStr">
        <is>
          <t>HIGH</t>
        </is>
      </c>
    </row>
    <row r="20">
      <c r="B20" s="64" t="n"/>
      <c r="C20" s="64" t="n"/>
    </row>
    <row r="21" ht="24.75" customHeight="1" s="101">
      <c r="A21" s="123" t="inlineStr">
        <is>
          <t>SOX EXAMINATION QUESTIONS</t>
        </is>
      </c>
    </row>
    <row r="22">
      <c r="A22" s="19" t="inlineStr">
        <is>
          <t>Question Area</t>
        </is>
      </c>
      <c r="B22" s="32" t="inlineStr">
        <is>
          <t>Likely Auditor Question</t>
        </is>
      </c>
      <c r="C22" s="32" t="inlineStr">
        <is>
          <t>Evidence to Provide</t>
        </is>
      </c>
      <c r="D22" s="19" t="inlineStr">
        <is>
          <t>Source Sheet</t>
        </is>
      </c>
      <c r="E22" s="19" t="inlineStr">
        <is>
          <t>Regulation Reference</t>
        </is>
      </c>
      <c r="F22" s="19" t="inlineStr">
        <is>
          <t>Priority</t>
        </is>
      </c>
    </row>
    <row r="23" ht="50.25" customHeight="1" s="101">
      <c r="A23" t="inlineStr">
        <is>
          <t>Internal Controls</t>
        </is>
      </c>
      <c r="B23" s="64" t="inlineStr">
        <is>
          <t>What internal controls exist over AI agents that process financial data?</t>
        </is>
      </c>
      <c r="C23" s="64" t="inlineStr">
        <is>
          <t>Environment group rules, locked configurations, approval workflows</t>
        </is>
      </c>
      <c r="D23" t="inlineStr">
        <is>
          <t>Management Controls</t>
        </is>
      </c>
      <c r="E23" t="inlineStr">
        <is>
          <t>SOX 302/404</t>
        </is>
      </c>
      <c r="F23" t="inlineStr">
        <is>
          <t>HIGH</t>
        </is>
      </c>
    </row>
    <row r="24" ht="50.25" customHeight="1" s="101">
      <c r="A24" t="inlineStr">
        <is>
          <t>Access Controls</t>
        </is>
      </c>
      <c r="B24" s="64" t="inlineStr">
        <is>
          <t>How do you control who can create and modify AI agents?</t>
        </is>
      </c>
      <c r="C24" s="64" t="inlineStr">
        <is>
          <t>Role assignments, publishing restrictions, managed environments</t>
        </is>
      </c>
      <c r="D24" t="inlineStr">
        <is>
          <t>Administrative Roles</t>
        </is>
      </c>
      <c r="E24" t="inlineStr">
        <is>
          <t>SOX 404</t>
        </is>
      </c>
      <c r="F24" t="inlineStr">
        <is>
          <t>HIGH</t>
        </is>
      </c>
    </row>
    <row r="25" ht="50.25" customHeight="1" s="101">
      <c r="A25" t="inlineStr">
        <is>
          <t>Testing</t>
        </is>
      </c>
      <c r="B25" s="64" t="inlineStr">
        <is>
          <t>How do you test AI agent controls for effectiveness?</t>
        </is>
      </c>
      <c r="C25" s="64" t="inlineStr">
        <is>
          <t>Solution checker results, pipeline test logs, control testing schedule</t>
        </is>
      </c>
      <c r="D25" t="inlineStr">
        <is>
          <t>Implementation Checklist</t>
        </is>
      </c>
      <c r="E25" t="inlineStr">
        <is>
          <t>SOX 404</t>
        </is>
      </c>
      <c r="F25" t="inlineStr">
        <is>
          <t>MEDIUM</t>
        </is>
      </c>
    </row>
    <row r="26" ht="50.25" customHeight="1" s="101">
      <c r="A26" t="inlineStr">
        <is>
          <t>Documentation</t>
        </is>
      </c>
      <c r="B26" s="64" t="inlineStr">
        <is>
          <t>Can you provide documentation of your AI control environment?</t>
        </is>
      </c>
      <c r="C26" s="64" t="inlineStr">
        <is>
          <t>This governance framework, policies, procedures, training materials</t>
        </is>
      </c>
      <c r="D26" t="inlineStr">
        <is>
          <t>All sheets</t>
        </is>
      </c>
      <c r="E26" t="inlineStr">
        <is>
          <t>SOX 302</t>
        </is>
      </c>
      <c r="F26" t="inlineStr">
        <is>
          <t>HIGH</t>
        </is>
      </c>
    </row>
    <row r="27">
      <c r="B27" s="64" t="n"/>
      <c r="C27" s="64" t="n"/>
    </row>
    <row r="28" ht="24.75" customHeight="1" s="101">
      <c r="A28" s="122" t="inlineStr">
        <is>
          <t>EVIDENCE COLLECTION CHECKLIST</t>
        </is>
      </c>
    </row>
    <row r="29">
      <c r="A29" s="19" t="inlineStr">
        <is>
          <t>Evidence Type</t>
        </is>
      </c>
      <c r="B29" s="32" t="inlineStr">
        <is>
          <t>Description</t>
        </is>
      </c>
      <c r="C29" s="32" t="inlineStr">
        <is>
          <t>Location</t>
        </is>
      </c>
      <c r="D29" s="19" t="inlineStr">
        <is>
          <t>Retention</t>
        </is>
      </c>
      <c r="E29" s="19" t="inlineStr">
        <is>
          <t>Responsible</t>
        </is>
      </c>
      <c r="F29" s="19" t="inlineStr">
        <is>
          <t>Last Updated</t>
        </is>
      </c>
    </row>
    <row r="30" ht="24.75" customHeight="1" s="101">
      <c r="A30" t="inlineStr">
        <is>
          <t>Agent Inventory Export</t>
        </is>
      </c>
      <c r="B30" s="64" t="inlineStr">
        <is>
          <t>Complete list of all agents by environment and zone</t>
        </is>
      </c>
      <c r="C30" s="64" t="inlineStr">
        <is>
          <t>[SharePoint Link]</t>
        </is>
      </c>
      <c r="D30" t="inlineStr">
        <is>
          <t>10 years</t>
        </is>
      </c>
      <c r="E30" t="inlineStr">
        <is>
          <t>Power Platform Admin</t>
        </is>
      </c>
      <c r="F30" t="inlineStr">
        <is>
          <t>[Date]</t>
        </is>
      </c>
    </row>
    <row r="31" ht="24.75" customHeight="1" s="101">
      <c r="A31" t="inlineStr">
        <is>
          <t>DLP Policy Configuration</t>
        </is>
      </c>
      <c r="B31" s="64" t="inlineStr">
        <is>
          <t>Screenshots/exports of all DLP policies applied to agents</t>
        </is>
      </c>
      <c r="C31" s="64" t="inlineStr">
        <is>
          <t>[SharePoint Link]</t>
        </is>
      </c>
      <c r="D31" t="inlineStr">
        <is>
          <t>10 years</t>
        </is>
      </c>
      <c r="E31" t="inlineStr">
        <is>
          <t>Compliance Admin</t>
        </is>
      </c>
      <c r="F31" t="inlineStr">
        <is>
          <t>[Date]</t>
        </is>
      </c>
    </row>
    <row r="32" ht="24.75" customHeight="1" s="101">
      <c r="A32" t="inlineStr">
        <is>
          <t>DSPM for AI Reports</t>
        </is>
      </c>
      <c r="B32" s="64" t="inlineStr">
        <is>
          <t>Monthly DSPM reports showing sensitive data access</t>
        </is>
      </c>
      <c r="C32" s="64" t="inlineStr">
        <is>
          <t>[SharePoint Link]</t>
        </is>
      </c>
      <c r="D32" t="inlineStr">
        <is>
          <t>10 years</t>
        </is>
      </c>
      <c r="E32" t="inlineStr">
        <is>
          <t>AI Administrator</t>
        </is>
      </c>
      <c r="F32" t="inlineStr">
        <is>
          <t>[Date]</t>
        </is>
      </c>
    </row>
    <row r="33" ht="24.75" customHeight="1" s="101">
      <c r="A33" t="inlineStr">
        <is>
          <t>Audit Log Exports</t>
        </is>
      </c>
      <c r="B33" s="64" t="inlineStr">
        <is>
          <t>Weekly audit log exports for agent activities</t>
        </is>
      </c>
      <c r="C33" s="64" t="inlineStr">
        <is>
          <t>[SharePoint Link]</t>
        </is>
      </c>
      <c r="D33" t="inlineStr">
        <is>
          <t>10 years</t>
        </is>
      </c>
      <c r="E33" t="inlineStr">
        <is>
          <t>Compliance Admin</t>
        </is>
      </c>
      <c r="F33" t="inlineStr">
        <is>
          <t>[Date]</t>
        </is>
      </c>
    </row>
    <row r="34" ht="24.75" customHeight="1" s="101">
      <c r="A34" t="inlineStr">
        <is>
          <t>Training Records</t>
        </is>
      </c>
      <c r="B34" s="64" t="inlineStr">
        <is>
          <t>Maker training completion certificates</t>
        </is>
      </c>
      <c r="C34" s="64" t="inlineStr">
        <is>
          <t>[LMS Link]</t>
        </is>
      </c>
      <c r="D34" t="inlineStr">
        <is>
          <t>7 years</t>
        </is>
      </c>
      <c r="E34" t="inlineStr">
        <is>
          <t>HR/Compliance</t>
        </is>
      </c>
      <c r="F34" t="inlineStr">
        <is>
          <t>[Date]</t>
        </is>
      </c>
    </row>
    <row r="35" ht="24.75" customHeight="1" s="101">
      <c r="A35" t="inlineStr">
        <is>
          <t>Approval Records</t>
        </is>
      </c>
      <c r="B35" s="64" t="inlineStr">
        <is>
          <t>Zone 3 agent approval documentation</t>
        </is>
      </c>
      <c r="C35" s="64" t="inlineStr">
        <is>
          <t>[SharePoint Link]</t>
        </is>
      </c>
      <c r="D35" t="inlineStr">
        <is>
          <t>10 years</t>
        </is>
      </c>
      <c r="E35" t="inlineStr">
        <is>
          <t>Governance Committee</t>
        </is>
      </c>
      <c r="F35" t="inlineStr">
        <is>
          <t>[Date]</t>
        </is>
      </c>
    </row>
    <row r="36" ht="24.75" customHeight="1" s="101">
      <c r="A36" t="inlineStr">
        <is>
          <t>Incident Reports</t>
        </is>
      </c>
      <c r="B36" s="64" t="inlineStr">
        <is>
          <t>Security incident reports related to agents</t>
        </is>
      </c>
      <c r="C36" s="64" t="inlineStr">
        <is>
          <t>[SharePoint Link]</t>
        </is>
      </c>
      <c r="D36" t="inlineStr">
        <is>
          <t>10 years</t>
        </is>
      </c>
      <c r="E36" t="inlineStr">
        <is>
          <t>Security Admin</t>
        </is>
      </c>
      <c r="F36" t="inlineStr">
        <is>
          <t>[Date]</t>
        </is>
      </c>
    </row>
    <row r="37" ht="24.75" customHeight="1" s="101">
      <c r="A37" t="inlineStr">
        <is>
          <t>Governance Framework</t>
        </is>
      </c>
      <c r="B37" s="64" t="inlineStr">
        <is>
          <t>This workbook (versioned)</t>
        </is>
      </c>
      <c r="C37" s="64" t="inlineStr">
        <is>
          <t>[SharePoint Link]</t>
        </is>
      </c>
      <c r="D37" t="inlineStr">
        <is>
          <t>10 years</t>
        </is>
      </c>
      <c r="E37" t="inlineStr">
        <is>
          <t>AI Governance Lead</t>
        </is>
      </c>
      <c r="F37" t="inlineStr">
        <is>
          <t>[Date]</t>
        </is>
      </c>
    </row>
    <row r="40">
      <c r="A40" s="161" t="inlineStr">
        <is>
          <t>REGULATORY EXAM VERIFICATION PROCEDURES</t>
        </is>
      </c>
    </row>
    <row r="41">
      <c r="A41" s="139" t="inlineStr">
        <is>
          <t>Regulation</t>
        </is>
      </c>
      <c r="B41" s="139" t="inlineStr">
        <is>
          <t>Exam Question</t>
        </is>
      </c>
      <c r="C41" s="139" t="inlineStr">
        <is>
          <t>Evidence Required</t>
        </is>
      </c>
      <c r="D41" s="139" t="inlineStr">
        <is>
          <t>Control Reference</t>
        </is>
      </c>
      <c r="E41" s="139" t="inlineStr">
        <is>
          <t>Verification Step</t>
        </is>
      </c>
      <c r="F41" s="139" t="inlineStr">
        <is>
          <t>Status</t>
        </is>
      </c>
    </row>
    <row r="42">
      <c r="A42" s="128" t="inlineStr">
        <is>
          <t>FINRA 4511</t>
        </is>
      </c>
      <c r="B42" s="128" t="inlineStr">
        <is>
          <t>How long do you retain agent communications?</t>
        </is>
      </c>
      <c r="C42" s="128" t="inlineStr">
        <is>
          <t>Retention policy config screenshot</t>
        </is>
      </c>
      <c r="D42" s="128" t="inlineStr">
        <is>
          <t>1.9, 2.9</t>
        </is>
      </c>
      <c r="E42" s="128" t="inlineStr">
        <is>
          <t>PPAC &gt; Policies &gt; Data policies &gt; Verify retention</t>
        </is>
      </c>
      <c r="F42" s="128" t="inlineStr"/>
    </row>
    <row r="43">
      <c r="A43" s="128" t="inlineStr">
        <is>
          <t>FINRA 4511</t>
        </is>
      </c>
      <c r="B43" s="128" t="inlineStr">
        <is>
          <t>Can you produce agent transcripts for examination?</t>
        </is>
      </c>
      <c r="C43" s="128" t="inlineStr">
        <is>
          <t>eDiscovery export sample</t>
        </is>
      </c>
      <c r="D43" s="128" t="inlineStr">
        <is>
          <t>1.13</t>
        </is>
      </c>
      <c r="E43" s="128" t="inlineStr">
        <is>
          <t>Purview &gt; eDiscovery &gt; Run test search</t>
        </is>
      </c>
      <c r="F43" s="128" t="inlineStr"/>
    </row>
    <row r="44">
      <c r="A44" s="128" t="inlineStr">
        <is>
          <t>FINRA 3110</t>
        </is>
      </c>
      <c r="B44" s="128" t="inlineStr">
        <is>
          <t>How do you supervise AI agent interactions?</t>
        </is>
      </c>
      <c r="C44" s="128" t="inlineStr">
        <is>
          <t>Communication Compliance policy</t>
        </is>
      </c>
      <c r="D44" s="128" t="inlineStr">
        <is>
          <t>1.10</t>
        </is>
      </c>
      <c r="E44" s="128" t="inlineStr">
        <is>
          <t>Purview &gt; Comm Compliance &gt; Policy list</t>
        </is>
      </c>
      <c r="F44" s="128" t="inlineStr"/>
    </row>
    <row r="45">
      <c r="A45" s="128" t="inlineStr">
        <is>
          <t>SEC 17a-4</t>
        </is>
      </c>
      <c r="B45" s="128" t="inlineStr">
        <is>
          <t>Are agent records stored in non-rewriteable format?</t>
        </is>
      </c>
      <c r="C45" s="128" t="inlineStr">
        <is>
          <t>Audit log retention config</t>
        </is>
      </c>
      <c r="D45" s="128" t="inlineStr">
        <is>
          <t>1.7</t>
        </is>
      </c>
      <c r="E45" s="128" t="inlineStr">
        <is>
          <t>Purview &gt; Audit &gt; Retention policies</t>
        </is>
      </c>
      <c r="F45" s="128" t="inlineStr"/>
    </row>
    <row r="46">
      <c r="A46" s="128" t="inlineStr">
        <is>
          <t>SOX 302</t>
        </is>
      </c>
      <c r="B46" s="128" t="inlineStr">
        <is>
          <t>What controls prevent unauthorized agent changes?</t>
        </is>
      </c>
      <c r="C46" s="128" t="inlineStr">
        <is>
          <t>ALM pipeline config</t>
        </is>
      </c>
      <c r="D46" s="128" t="inlineStr">
        <is>
          <t>2.4, 2.5</t>
        </is>
      </c>
      <c r="E46" s="128" t="inlineStr">
        <is>
          <t>PPAC &gt; Pipelines &gt; Show approval workflow</t>
        </is>
      </c>
      <c r="F46" s="128" t="inlineStr"/>
    </row>
    <row r="47">
      <c r="A47" s="128" t="inlineStr">
        <is>
          <t>SOX 404</t>
        </is>
      </c>
      <c r="B47" s="128" t="inlineStr">
        <is>
          <t>How do you test agent control effectiveness?</t>
        </is>
      </c>
      <c r="C47" s="128" t="inlineStr">
        <is>
          <t>Solution checker results</t>
        </is>
      </c>
      <c r="D47" s="128" t="inlineStr">
        <is>
          <t>2.10</t>
        </is>
      </c>
      <c r="E47" s="128" t="inlineStr">
        <is>
          <t>Show solution checker enforcement</t>
        </is>
      </c>
      <c r="F47" s="128" t="inlineStr"/>
    </row>
    <row r="48">
      <c r="A48" s="128" t="inlineStr">
        <is>
          <t>GLBA 501(b)</t>
        </is>
      </c>
      <c r="B48" s="128" t="inlineStr">
        <is>
          <t>How do you prevent unauthorized data access?</t>
        </is>
      </c>
      <c r="C48" s="128" t="inlineStr">
        <is>
          <t>DLP policy + Conditional Access</t>
        </is>
      </c>
      <c r="D48" s="128" t="inlineStr">
        <is>
          <t>1.5, 1.18</t>
        </is>
      </c>
      <c r="E48" s="128" t="inlineStr">
        <is>
          <t>Show DLP blocking sensitive data</t>
        </is>
      </c>
      <c r="F48" s="128" t="inlineStr"/>
    </row>
    <row r="49">
      <c r="A49" s="128" t="inlineStr">
        <is>
          <t>GLBA 501(b)</t>
        </is>
      </c>
      <c r="B49" s="128" t="inlineStr">
        <is>
          <t>How do you authenticate agent users?</t>
        </is>
      </c>
      <c r="C49" s="128" t="inlineStr">
        <is>
          <t>Auth config + CA policy</t>
        </is>
      </c>
      <c r="D49" s="128" t="inlineStr">
        <is>
          <t>1.11, 1.18</t>
        </is>
      </c>
      <c r="E49" s="128" t="inlineStr">
        <is>
          <t>Show Entra ID requirement config</t>
        </is>
      </c>
      <c r="F49" s="128" t="inlineStr"/>
    </row>
    <row r="50">
      <c r="A50" s="128" t="inlineStr">
        <is>
          <t>OCC 2011-12</t>
        </is>
      </c>
      <c r="B50" s="128" t="inlineStr">
        <is>
          <t>Do you treat agents as models?</t>
        </is>
      </c>
      <c r="C50" s="128" t="inlineStr">
        <is>
          <t>Model inventory + validation docs</t>
        </is>
      </c>
      <c r="D50" s="128" t="inlineStr">
        <is>
          <t>2.11, 2.12</t>
        </is>
      </c>
      <c r="E50" s="128" t="inlineStr">
        <is>
          <t>Show agent inventory with risk classification</t>
        </is>
      </c>
      <c r="F50" s="128" t="inlineStr"/>
    </row>
    <row r="51">
      <c r="A51" s="128" t="inlineStr">
        <is>
          <t>Fed SR 11-7</t>
        </is>
      </c>
      <c r="B51" s="128" t="inlineStr">
        <is>
          <t>How do you validate agent outputs?</t>
        </is>
      </c>
      <c r="C51" s="128" t="inlineStr">
        <is>
          <t>Human-in-the-loop config</t>
        </is>
      </c>
      <c r="D51" s="128" t="inlineStr">
        <is>
          <t>2.12</t>
        </is>
      </c>
      <c r="E51" s="128" t="inlineStr">
        <is>
          <t>Show autonomous agent approval workflow</t>
        </is>
      </c>
      <c r="F51" s="128" t="inlineStr"/>
    </row>
    <row r="52">
      <c r="A52" s="128" t="inlineStr">
        <is>
          <t>All</t>
        </is>
      </c>
      <c r="B52" s="128" t="inlineStr">
        <is>
          <t>What is your agent inventory?</t>
        </is>
      </c>
      <c r="C52" s="128" t="inlineStr">
        <is>
          <t>Integrated Apps agent list</t>
        </is>
      </c>
      <c r="D52" s="128" t="inlineStr">
        <is>
          <t>1.2, 3.1</t>
        </is>
      </c>
      <c r="E52" s="128" t="inlineStr">
        <is>
          <t>M365 Admin &gt; Integrated Apps &gt; Agents</t>
        </is>
      </c>
      <c r="F52" s="128" t="inlineStr"/>
    </row>
    <row r="53">
      <c r="A53" s="128" t="inlineStr">
        <is>
          <t>All</t>
        </is>
      </c>
      <c r="B53" s="128" t="inlineStr">
        <is>
          <t>How do you track agent costs?</t>
        </is>
      </c>
      <c r="C53" s="128" t="inlineStr">
        <is>
          <t>Billing dashboard + alerts</t>
        </is>
      </c>
      <c r="D53" s="128" t="inlineStr">
        <is>
          <t>3.5</t>
        </is>
      </c>
      <c r="E53" s="128" t="inlineStr">
        <is>
          <t>PPAC &gt; Billing &gt; Cost reports</t>
        </is>
      </c>
      <c r="F53" s="128" t="inlineStr"/>
    </row>
    <row r="54">
      <c r="A54" s="128" t="inlineStr">
        <is>
          <t>All</t>
        </is>
      </c>
      <c r="B54" s="128" t="inlineStr">
        <is>
          <t>What happens when agent owner leaves?</t>
        </is>
      </c>
      <c r="C54" s="128" t="inlineStr">
        <is>
          <t>Ownerless agent policy</t>
        </is>
      </c>
      <c r="D54" s="128" t="inlineStr">
        <is>
          <t>3.6</t>
        </is>
      </c>
      <c r="E54" s="128" t="inlineStr">
        <is>
          <t>Show reassignment workflow</t>
        </is>
      </c>
      <c r="F54" s="128" t="inlineStr"/>
    </row>
  </sheetData>
  <mergeCells count="7">
    <mergeCell ref="A2:F2"/>
    <mergeCell ref="A28:F28"/>
    <mergeCell ref="A13:F13"/>
    <mergeCell ref="A1:F1"/>
    <mergeCell ref="A40:F40"/>
    <mergeCell ref="A4:F4"/>
    <mergeCell ref="A21:F21"/>
  </mergeCells>
  <conditionalFormatting sqref="F6:F11">
    <cfRule type="containsText" priority="1" operator="containsText" dxfId="44" text="HIGH">
      <formula>NOT(ISERROR(SEARCH("HIGH",F6)))</formula>
    </cfRule>
    <cfRule type="containsText" priority="2" operator="containsText" dxfId="43" text="MEDIUM">
      <formula>NOT(ISERROR(SEARCH("MEDIUM",F6)))</formula>
    </cfRule>
  </conditionalFormatting>
  <conditionalFormatting sqref="F15:F19">
    <cfRule type="containsText" priority="3" operator="containsText" dxfId="44" text="HIGH">
      <formula>NOT(ISERROR(SEARCH("HIGH",F15)))</formula>
    </cfRule>
    <cfRule type="containsText" priority="4" operator="containsText" dxfId="43" text="MEDIUM">
      <formula>NOT(ISERROR(SEARCH("MEDIUM",F15)))</formula>
    </cfRule>
  </conditionalFormatting>
  <conditionalFormatting sqref="F23:F26">
    <cfRule type="containsText" priority="5" operator="containsText" dxfId="44" text="HIGH">
      <formula>NOT(ISERROR(SEARCH("HIGH",F23)))</formula>
    </cfRule>
    <cfRule type="containsText" priority="6" operator="containsText" dxfId="43" text="MEDIUM">
      <formula>NOT(ISERROR(SEARCH("MEDIUM",F23)))</formula>
    </cfRule>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76"/>
  <sheetViews>
    <sheetView workbookViewId="0">
      <pane ySplit="1" topLeftCell="A2" activePane="bottomLeft" state="frozen"/>
      <selection pane="bottomLeft" activeCell="A1" sqref="A1:E1"/>
    </sheetView>
  </sheetViews>
  <sheetFormatPr baseColWidth="8" defaultRowHeight="14.45"/>
  <cols>
    <col width="25.5703125" bestFit="1" customWidth="1" style="101" min="1" max="1"/>
    <col width="60.28515625" bestFit="1" customWidth="1" style="64" min="2" max="2"/>
    <col width="24.140625" bestFit="1" customWidth="1" style="64" min="3" max="3"/>
    <col width="22.42578125" bestFit="1" customWidth="1" style="64" min="4" max="4"/>
    <col width="11.42578125" bestFit="1" customWidth="1" style="101" min="5" max="7"/>
    <col width="9.42578125" bestFit="1" customWidth="1" style="101" min="8" max="8"/>
  </cols>
  <sheetData>
    <row r="1" ht="18" customHeight="1" s="101">
      <c r="A1" s="58" t="inlineStr">
        <is>
          <t>IMPLEMENTATION CHECKLIST</t>
        </is>
      </c>
    </row>
    <row r="2" ht="18" customHeight="1" s="101">
      <c r="A2" s="5" t="inlineStr">
        <is>
          <t>Phase</t>
        </is>
      </c>
      <c r="B2" s="5" t="inlineStr">
        <is>
          <t>Task</t>
        </is>
      </c>
      <c r="C2" s="5" t="inlineStr">
        <is>
          <t>Owner</t>
        </is>
      </c>
      <c r="D2" s="5" t="inlineStr">
        <is>
          <t>Status</t>
        </is>
      </c>
      <c r="E2" s="5" t="inlineStr">
        <is>
          <t>Dependencies</t>
        </is>
      </c>
      <c r="F2" s="5" t="inlineStr">
        <is>
          <t>Est. Hours</t>
        </is>
      </c>
      <c r="G2" s="5" t="inlineStr">
        <is>
          <t>% Complete</t>
        </is>
      </c>
      <c r="H2" s="5" t="inlineStr">
        <is>
          <t>Notes</t>
        </is>
      </c>
      <c r="I2" s="1" t="n"/>
    </row>
    <row r="3" ht="18" customHeight="1" s="101">
      <c r="A3" s="2" t="inlineStr">
        <is>
          <t>Planning</t>
        </is>
      </c>
      <c r="B3" s="2" t="inlineStr">
        <is>
          <t>Review governance framework with leadership and compliance</t>
        </is>
      </c>
      <c r="C3" s="2" t="inlineStr">
        <is>
          <t>AI Governance Lead</t>
        </is>
      </c>
      <c r="D3" s="2" t="n"/>
      <c r="E3" s="2" t="n"/>
      <c r="F3" s="2" t="n"/>
      <c r="G3" s="2" t="n"/>
      <c r="H3" s="2" t="n"/>
      <c r="I3" s="1" t="n"/>
    </row>
    <row r="4" ht="18" customHeight="1" s="101">
      <c r="A4" s="2" t="inlineStr">
        <is>
          <t>Planning</t>
        </is>
      </c>
      <c r="B4" s="2" t="inlineStr">
        <is>
          <t>Assess current agent landscape and inventory</t>
        </is>
      </c>
      <c r="C4" s="2" t="inlineStr">
        <is>
          <t>Power Platform Admin</t>
        </is>
      </c>
      <c r="D4" s="2" t="n"/>
      <c r="E4" s="2" t="n"/>
      <c r="F4" s="2" t="n"/>
      <c r="G4" s="2" t="n"/>
      <c r="H4" s="2" t="n"/>
      <c r="I4" s="1" t="n"/>
    </row>
    <row r="5" ht="18" customHeight="1" s="101">
      <c r="A5" s="2" t="inlineStr">
        <is>
          <t>Planning</t>
        </is>
      </c>
      <c r="B5" s="2" t="inlineStr">
        <is>
          <t>Define governance zones per organization</t>
        </is>
      </c>
      <c r="C5" s="2" t="inlineStr">
        <is>
          <t>Compliance Officer</t>
        </is>
      </c>
      <c r="D5" s="2" t="n"/>
      <c r="E5" s="2" t="n"/>
      <c r="F5" s="2" t="n"/>
      <c r="G5" s="2" t="n"/>
      <c r="H5" s="2" t="n"/>
      <c r="I5" s="1" t="n"/>
    </row>
    <row r="6" ht="18" customHeight="1" s="101">
      <c r="A6" s="2" t="inlineStr">
        <is>
          <t>Planning</t>
        </is>
      </c>
      <c r="B6" s="2" t="inlineStr">
        <is>
          <t>Create administrative roles structure</t>
        </is>
      </c>
      <c r="C6" s="2" t="inlineStr">
        <is>
          <t>IT Security Lead</t>
        </is>
      </c>
      <c r="D6" s="2" t="n"/>
      <c r="E6" s="2" t="n"/>
      <c r="F6" s="2" t="n"/>
      <c r="G6" s="2" t="n"/>
      <c r="H6" s="2" t="n"/>
      <c r="I6" s="1" t="n"/>
    </row>
    <row r="7" ht="18" customHeight="1" s="101">
      <c r="A7" s="2" t="inlineStr">
        <is>
          <t>Infrastructure</t>
        </is>
      </c>
      <c r="B7" s="2" t="inlineStr">
        <is>
          <t>Enable Managed Environments on all target environments</t>
        </is>
      </c>
      <c r="C7" s="2" t="inlineStr">
        <is>
          <t>Power Platform Admin</t>
        </is>
      </c>
      <c r="D7" s="2" t="n"/>
      <c r="E7" s="2" t="n"/>
      <c r="F7" s="2" t="n"/>
      <c r="G7" s="2" t="n"/>
      <c r="H7" s="2" t="n"/>
      <c r="I7" s="1" t="n"/>
    </row>
    <row r="8" ht="18" customHeight="1" s="101">
      <c r="A8" s="2" t="inlineStr">
        <is>
          <t>Infrastructure</t>
        </is>
      </c>
      <c r="B8" s="2" t="inlineStr">
        <is>
          <t>Configure Environment Groups and locked rules</t>
        </is>
      </c>
      <c r="C8" s="2" t="inlineStr">
        <is>
          <t>Power Platform Admin</t>
        </is>
      </c>
      <c r="D8" s="2" t="n"/>
      <c r="E8" s="2" t="n"/>
      <c r="F8" s="2" t="n"/>
      <c r="G8" s="2" t="n"/>
      <c r="H8" s="2" t="n"/>
      <c r="I8" s="1" t="n"/>
    </row>
    <row r="9" ht="18" customHeight="1" s="101">
      <c r="A9" s="2" t="inlineStr">
        <is>
          <t>Infrastructure</t>
        </is>
      </c>
      <c r="B9" s="2" t="inlineStr">
        <is>
          <t>Implement Environment Routing</t>
        </is>
      </c>
      <c r="C9" s="2" t="inlineStr">
        <is>
          <t>Power Platform Admin</t>
        </is>
      </c>
      <c r="D9" s="2" t="n"/>
      <c r="E9" s="2" t="n"/>
      <c r="F9" s="2" t="n"/>
      <c r="G9" s="2" t="n"/>
      <c r="H9" s="2" t="n"/>
      <c r="I9" s="1" t="n"/>
    </row>
    <row r="10" ht="18" customHeight="1" s="101">
      <c r="A10" s="2" t="inlineStr">
        <is>
          <t>Infrastructure</t>
        </is>
      </c>
      <c r="B10" s="2" t="inlineStr">
        <is>
          <t>Create DLP and Advanced Connector Policies</t>
        </is>
      </c>
      <c r="C10" s="2" t="inlineStr">
        <is>
          <t>Compliance Administrator</t>
        </is>
      </c>
      <c r="D10" s="2" t="n"/>
      <c r="E10" s="2" t="n"/>
      <c r="F10" s="2" t="n"/>
      <c r="G10" s="2" t="n"/>
      <c r="H10" s="2" t="n"/>
      <c r="I10" s="1" t="n"/>
    </row>
    <row r="11" ht="18" customHeight="1" s="101">
      <c r="A11" s="2" t="inlineStr">
        <is>
          <t>Security</t>
        </is>
      </c>
      <c r="B11" s="2" t="inlineStr">
        <is>
          <t>Enable DSPM for AI</t>
        </is>
      </c>
      <c r="C11" s="2" t="inlineStr">
        <is>
          <t>Compliance Administrator</t>
        </is>
      </c>
      <c r="D11" s="2" t="n"/>
      <c r="E11" s="2" t="n"/>
      <c r="F11" s="2" t="n"/>
      <c r="G11" s="2" t="n"/>
      <c r="H11" s="2" t="n"/>
      <c r="I11" s="1" t="n"/>
    </row>
    <row r="12" ht="18" customHeight="1" s="101">
      <c r="A12" s="2" t="inlineStr">
        <is>
          <t>Security</t>
        </is>
      </c>
      <c r="B12" s="2" t="inlineStr">
        <is>
          <t>Configure comprehensive audit logging</t>
        </is>
      </c>
      <c r="C12" s="2" t="inlineStr">
        <is>
          <t>Compliance Administrator</t>
        </is>
      </c>
      <c r="D12" s="2" t="n"/>
      <c r="E12" s="2" t="n"/>
      <c r="F12" s="2" t="n"/>
      <c r="G12" s="2" t="n"/>
      <c r="H12" s="2" t="n"/>
      <c r="I12" s="1" t="n"/>
    </row>
    <row r="13" ht="18" customHeight="1" s="101">
      <c r="A13" s="2" t="inlineStr">
        <is>
          <t>Security</t>
        </is>
      </c>
      <c r="B13" s="2" t="inlineStr">
        <is>
          <t>Establish ALM with Pipelines</t>
        </is>
      </c>
      <c r="C13" s="2" t="inlineStr">
        <is>
          <t>Power Platform Admin</t>
        </is>
      </c>
      <c r="D13" s="2" t="n"/>
      <c r="E13" s="2" t="n"/>
      <c r="F13" s="2" t="n"/>
      <c r="G13" s="2" t="n"/>
      <c r="H13" s="2" t="n"/>
      <c r="I13" s="1" t="n"/>
    </row>
    <row r="14" ht="18" customHeight="1" s="101">
      <c r="A14" s="2" t="inlineStr">
        <is>
          <t>Security</t>
        </is>
      </c>
      <c r="B14" s="2" t="inlineStr">
        <is>
          <t>Enable runtime protection on production agents</t>
        </is>
      </c>
      <c r="C14" s="2" t="inlineStr">
        <is>
          <t>Security Administrator</t>
        </is>
      </c>
      <c r="D14" s="2" t="n"/>
      <c r="E14" s="2" t="n"/>
      <c r="F14" s="2" t="n"/>
      <c r="G14" s="2" t="n"/>
      <c r="H14" s="2" t="n"/>
      <c r="I14" s="1" t="n"/>
    </row>
    <row r="15" ht="18" customHeight="1" s="101">
      <c r="A15" s="2" t="inlineStr">
        <is>
          <t>Monitoring</t>
        </is>
      </c>
      <c r="B15" s="2" t="inlineStr">
        <is>
          <t>Configure monitoring and alerting</t>
        </is>
      </c>
      <c r="C15" s="2" t="inlineStr">
        <is>
          <t>Power Platform Admin</t>
        </is>
      </c>
      <c r="D15" s="2" t="n"/>
      <c r="E15" s="2" t="n"/>
      <c r="F15" s="2" t="n"/>
      <c r="G15" s="2" t="n"/>
      <c r="H15" s="2" t="n"/>
      <c r="I15" s="1" t="n"/>
    </row>
    <row r="16" ht="18" customHeight="1" s="101">
      <c r="A16" s="2" t="inlineStr">
        <is>
          <t>Monitoring</t>
        </is>
      </c>
      <c r="B16" s="2" t="inlineStr">
        <is>
          <t>Create compliance reporting dashboards</t>
        </is>
      </c>
      <c r="C16" s="2" t="inlineStr">
        <is>
          <t>Compliance Administrator</t>
        </is>
      </c>
      <c r="D16" s="2" t="n"/>
      <c r="E16" s="2" t="n"/>
      <c r="F16" s="2" t="n"/>
      <c r="G16" s="2" t="n"/>
      <c r="H16" s="2" t="n"/>
      <c r="I16" s="1" t="n"/>
    </row>
    <row r="17" ht="18" customHeight="1" s="101">
      <c r="A17" s="2" t="inlineStr">
        <is>
          <t>Training</t>
        </is>
      </c>
      <c r="B17" s="2" t="inlineStr">
        <is>
          <t>Conduct maker training on governance</t>
        </is>
      </c>
      <c r="C17" s="2" t="inlineStr">
        <is>
          <t>AI Governance Lead</t>
        </is>
      </c>
      <c r="D17" s="2" t="n"/>
      <c r="E17" s="2" t="n"/>
      <c r="F17" s="2" t="n"/>
      <c r="G17" s="2" t="n"/>
      <c r="H17" s="2" t="n"/>
      <c r="I17" s="1" t="n"/>
    </row>
    <row r="18" ht="18" customHeight="1" s="101">
      <c r="A18" s="2" t="inlineStr">
        <is>
          <t>Testing</t>
        </is>
      </c>
      <c r="B18" s="2" t="inlineStr">
        <is>
          <t>Test all controls in dev environment</t>
        </is>
      </c>
      <c r="C18" s="2" t="inlineStr">
        <is>
          <t>Power Platform Admin</t>
        </is>
      </c>
      <c r="D18" s="2" t="n"/>
      <c r="E18" s="2" t="n"/>
      <c r="F18" s="2" t="n"/>
      <c r="G18" s="2" t="n"/>
      <c r="H18" s="2" t="n"/>
      <c r="I18" s="1" t="n"/>
    </row>
    <row r="19" ht="18" customHeight="1" s="101">
      <c r="A19" s="2" t="inlineStr">
        <is>
          <t>Deployment</t>
        </is>
      </c>
      <c r="B19" s="2" t="inlineStr">
        <is>
          <t>Pilot program with business unit</t>
        </is>
      </c>
      <c r="C19" s="2" t="inlineStr">
        <is>
          <t>Project Manager</t>
        </is>
      </c>
      <c r="D19" s="2" t="n"/>
      <c r="E19" s="2" t="n"/>
      <c r="F19" s="2" t="n"/>
      <c r="G19" s="2" t="n"/>
      <c r="H19" s="2" t="n"/>
      <c r="I19" s="1" t="n"/>
    </row>
    <row r="20" ht="18" customHeight="1" s="101">
      <c r="A20" s="2" t="inlineStr">
        <is>
          <t>Deployment</t>
        </is>
      </c>
      <c r="B20" s="2" t="inlineStr">
        <is>
          <t>Full production rollout</t>
        </is>
      </c>
      <c r="C20" s="2" t="inlineStr">
        <is>
          <t>Project Manager</t>
        </is>
      </c>
      <c r="D20" s="2" t="n"/>
      <c r="E20" s="2" t="n"/>
      <c r="F20" s="2" t="n"/>
      <c r="G20" s="2" t="n"/>
      <c r="H20" s="2" t="n"/>
      <c r="I20" s="1" t="n"/>
    </row>
    <row r="21" ht="18" customHeight="1" s="101">
      <c r="A21" s="2" t="inlineStr">
        <is>
          <t>Operations</t>
        </is>
      </c>
      <c r="B21" s="2" t="inlineStr">
        <is>
          <t>Establish ongoing governance review process (quarterly)</t>
        </is>
      </c>
      <c r="C21" s="2" t="inlineStr">
        <is>
          <t>Compliance Officer</t>
        </is>
      </c>
      <c r="D21" s="2" t="n"/>
      <c r="E21" s="2" t="n"/>
      <c r="F21" s="2" t="n"/>
      <c r="G21" s="2" t="n"/>
      <c r="H21" s="2" t="n"/>
      <c r="I21" s="1" t="n"/>
    </row>
    <row r="22" ht="18" customHeight="1" s="101">
      <c r="A22" s="2" t="n"/>
      <c r="B22" s="2" t="n"/>
      <c r="C22" s="2" t="n"/>
      <c r="D22" s="2" t="n"/>
      <c r="E22" s="2" t="n"/>
      <c r="F22" s="2" t="n"/>
      <c r="G22" s="2" t="n"/>
      <c r="H22" s="2" t="n"/>
      <c r="I22" s="1" t="n"/>
    </row>
    <row r="23" ht="18" customHeight="1" s="101">
      <c r="A23" s="12" t="inlineStr">
        <is>
          <t>ESTIMATED EFFORT</t>
        </is>
      </c>
      <c r="B23" s="12" t="n"/>
      <c r="C23" s="12" t="n"/>
      <c r="D23" s="12" t="n"/>
      <c r="E23" s="18" t="n"/>
      <c r="F23" s="18" t="n"/>
      <c r="G23" s="18" t="n"/>
      <c r="H23" s="18" t="n"/>
      <c r="I23" s="1" t="n"/>
    </row>
    <row r="24" ht="18" customHeight="1" s="101">
      <c r="A24" s="2" t="inlineStr">
        <is>
          <t>Phase</t>
        </is>
      </c>
      <c r="B24" s="2" t="inlineStr">
        <is>
          <t>Duration</t>
        </is>
      </c>
      <c r="C24" s="2" t="inlineStr">
        <is>
          <t>Resources</t>
        </is>
      </c>
      <c r="D24" s="2" t="inlineStr">
        <is>
          <t>Effort</t>
        </is>
      </c>
      <c r="E24" s="2" t="n"/>
      <c r="F24" s="2" t="n"/>
      <c r="G24" s="2" t="n"/>
      <c r="H24" s="2" t="n"/>
      <c r="I24" s="1" t="n"/>
    </row>
    <row r="25" ht="18" customHeight="1" s="101">
      <c r="A25" s="146" t="inlineStr">
        <is>
          <t>PHASE 1: REGULATORY COMPLIANCE CONTROLS</t>
        </is>
      </c>
      <c r="G25" s="2" t="n"/>
      <c r="H25" s="2" t="n"/>
      <c r="I25" s="1" t="n"/>
    </row>
    <row r="26" ht="18" customHeight="1" s="101">
      <c r="A26" s="147" t="inlineStr">
        <is>
          <t>Phase</t>
        </is>
      </c>
      <c r="B26" s="147" t="inlineStr">
        <is>
          <t>Task</t>
        </is>
      </c>
      <c r="C26" s="147" t="inlineStr">
        <is>
          <t>Control ID</t>
        </is>
      </c>
      <c r="D26" s="147" t="inlineStr">
        <is>
          <t>Owner</t>
        </is>
      </c>
      <c r="E26" s="147" t="inlineStr">
        <is>
          <t>Target Date</t>
        </is>
      </c>
      <c r="F26" s="147" t="inlineStr">
        <is>
          <t>Status</t>
        </is>
      </c>
      <c r="G26" s="2" t="n"/>
      <c r="H26" s="2" t="n"/>
      <c r="I26" s="1" t="n"/>
    </row>
    <row r="27" ht="18" customHeight="1" s="101">
      <c r="A27" s="148" t="inlineStr">
        <is>
          <t>Phase 1</t>
        </is>
      </c>
      <c r="B27" s="148" t="inlineStr">
        <is>
          <t>Configure Data Retention policies for Copilot</t>
        </is>
      </c>
      <c r="C27" s="148" t="inlineStr">
        <is>
          <t>1.9</t>
        </is>
      </c>
      <c r="D27" s="148" t="inlineStr">
        <is>
          <t>Compliance Admin</t>
        </is>
      </c>
      <c r="E27" s="148" t="inlineStr">
        <is>
          <t>Week 1</t>
        </is>
      </c>
      <c r="F27" s="148" t="inlineStr">
        <is>
          <t>NOT STARTED</t>
        </is>
      </c>
      <c r="G27" s="2" t="n"/>
      <c r="H27" s="2" t="n"/>
      <c r="I27" s="1" t="n"/>
    </row>
    <row r="28" ht="18" customHeight="1" s="101">
      <c r="A28" s="148" t="inlineStr">
        <is>
          <t>Phase 1</t>
        </is>
      </c>
      <c r="B28" s="148" t="inlineStr">
        <is>
          <t>Enable Communication Compliance monitoring</t>
        </is>
      </c>
      <c r="C28" s="148" t="inlineStr">
        <is>
          <t>1.10</t>
        </is>
      </c>
      <c r="D28" s="148" t="inlineStr">
        <is>
          <t>Compliance Admin</t>
        </is>
      </c>
      <c r="E28" s="148" t="inlineStr">
        <is>
          <t>Week 1</t>
        </is>
      </c>
      <c r="F28" s="148" t="inlineStr">
        <is>
          <t>NOT STARTED</t>
        </is>
      </c>
      <c r="G28" s="2" t="n"/>
      <c r="H28" s="2" t="n"/>
      <c r="I28" s="1" t="n"/>
    </row>
    <row r="29" ht="18" customHeight="1" s="101">
      <c r="A29" s="148" t="inlineStr">
        <is>
          <t>Phase 1</t>
        </is>
      </c>
      <c r="B29" s="148" t="inlineStr">
        <is>
          <t>Block unauthenticated agent access via DLP</t>
        </is>
      </c>
      <c r="C29" s="148" t="inlineStr">
        <is>
          <t>1.11</t>
        </is>
      </c>
      <c r="D29" s="148" t="inlineStr">
        <is>
          <t>Power Platform Admin</t>
        </is>
      </c>
      <c r="E29" s="148" t="inlineStr">
        <is>
          <t>Week 1</t>
        </is>
      </c>
      <c r="F29" s="148" t="inlineStr">
        <is>
          <t>NOT STARTED</t>
        </is>
      </c>
      <c r="G29" s="2" t="n"/>
      <c r="H29" s="2" t="n"/>
      <c r="I29" s="1" t="n"/>
    </row>
    <row r="30" ht="18" customHeight="1" s="101">
      <c r="A30" s="148" t="inlineStr">
        <is>
          <t>Phase 1</t>
        </is>
      </c>
      <c r="B30" s="148" t="inlineStr">
        <is>
          <t>Configure Insider Risk for AI policy</t>
        </is>
      </c>
      <c r="C30" s="148" t="inlineStr">
        <is>
          <t>1.12</t>
        </is>
      </c>
      <c r="D30" s="148" t="inlineStr">
        <is>
          <t>Security Admin</t>
        </is>
      </c>
      <c r="E30" s="148" t="inlineStr">
        <is>
          <t>Week 2</t>
        </is>
      </c>
      <c r="F30" s="148" t="inlineStr">
        <is>
          <t>NOT STARTED</t>
        </is>
      </c>
      <c r="G30" s="2" t="n"/>
      <c r="H30" s="2" t="n"/>
      <c r="I30" s="1" t="n"/>
    </row>
    <row r="31" ht="18" customHeight="1" s="101">
      <c r="A31" s="148" t="inlineStr">
        <is>
          <t>Phase 1</t>
        </is>
      </c>
      <c r="B31" s="148" t="inlineStr">
        <is>
          <t>Set up eDiscovery for Copilot interactions</t>
        </is>
      </c>
      <c r="C31" s="148" t="inlineStr">
        <is>
          <t>1.13</t>
        </is>
      </c>
      <c r="D31" s="148" t="inlineStr">
        <is>
          <t>Legal/Compliance</t>
        </is>
      </c>
      <c r="E31" s="148" t="inlineStr">
        <is>
          <t>Week 2</t>
        </is>
      </c>
      <c r="F31" s="148" t="inlineStr">
        <is>
          <t>NOT STARTED</t>
        </is>
      </c>
      <c r="G31" s="2" t="n"/>
      <c r="H31" s="2" t="n"/>
      <c r="I31" s="1" t="n"/>
    </row>
    <row r="32">
      <c r="A32" s="128" t="inlineStr">
        <is>
          <t>Phase 1</t>
        </is>
      </c>
      <c r="B32" s="128" t="inlineStr">
        <is>
          <t>Block external channel publishing</t>
        </is>
      </c>
      <c r="C32" s="128" t="inlineStr">
        <is>
          <t>1.14</t>
        </is>
      </c>
      <c r="D32" s="128" t="inlineStr">
        <is>
          <t>Power Platform Admin</t>
        </is>
      </c>
      <c r="E32" s="128" t="inlineStr">
        <is>
          <t>Week 1</t>
        </is>
      </c>
      <c r="F32" s="128" t="inlineStr">
        <is>
          <t>NOT STARTED</t>
        </is>
      </c>
    </row>
    <row r="33">
      <c r="A33" s="128" t="inlineStr">
        <is>
          <t>Phase 1</t>
        </is>
      </c>
      <c r="B33" s="128" t="inlineStr">
        <is>
          <t>Configure agent sharing controls per zone</t>
        </is>
      </c>
      <c r="C33" s="128" t="inlineStr">
        <is>
          <t>1.15</t>
        </is>
      </c>
      <c r="D33" s="128" t="inlineStr">
        <is>
          <t>Power Platform Admin</t>
        </is>
      </c>
      <c r="E33" s="128" t="inlineStr">
        <is>
          <t>Week 2</t>
        </is>
      </c>
      <c r="F33" s="128" t="inlineStr">
        <is>
          <t>NOT STARTED</t>
        </is>
      </c>
    </row>
    <row r="34">
      <c r="A34" s="128" t="inlineStr">
        <is>
          <t>Phase 1</t>
        </is>
      </c>
      <c r="B34" s="128" t="inlineStr">
        <is>
          <t>Define approved knowledge sources</t>
        </is>
      </c>
      <c r="C34" s="128" t="inlineStr">
        <is>
          <t>2.7</t>
        </is>
      </c>
      <c r="D34" s="128" t="inlineStr">
        <is>
          <t>AI Administrator</t>
        </is>
      </c>
      <c r="E34" s="128" t="inlineStr">
        <is>
          <t>Week 2</t>
        </is>
      </c>
      <c r="F34" s="128" t="inlineStr">
        <is>
          <t>NOT STARTED</t>
        </is>
      </c>
    </row>
    <row r="35">
      <c r="A35" s="128" t="inlineStr">
        <is>
          <t>Phase 1</t>
        </is>
      </c>
      <c r="B35" s="128" t="inlineStr">
        <is>
          <t>Configure AI prompts rules</t>
        </is>
      </c>
      <c r="C35" s="128" t="inlineStr">
        <is>
          <t>2.8</t>
        </is>
      </c>
      <c r="D35" s="128" t="inlineStr">
        <is>
          <t>Power Platform Admin</t>
        </is>
      </c>
      <c r="E35" s="128" t="inlineStr">
        <is>
          <t>Week 2</t>
        </is>
      </c>
      <c r="F35" s="128" t="inlineStr">
        <is>
          <t>NOT STARTED</t>
        </is>
      </c>
    </row>
    <row r="36">
      <c r="A36" s="128" t="inlineStr">
        <is>
          <t>Phase 1</t>
        </is>
      </c>
      <c r="B36" s="128" t="inlineStr">
        <is>
          <t>Set transcript retention per regulation</t>
        </is>
      </c>
      <c r="C36" s="128" t="inlineStr">
        <is>
          <t>2.9</t>
        </is>
      </c>
      <c r="D36" s="128" t="inlineStr">
        <is>
          <t>Compliance Admin</t>
        </is>
      </c>
      <c r="E36" s="128" t="inlineStr">
        <is>
          <t>Week 1</t>
        </is>
      </c>
      <c r="F36" s="128" t="inlineStr">
        <is>
          <t>NOT STARTED</t>
        </is>
      </c>
    </row>
    <row r="37">
      <c r="A37" s="128" t="inlineStr">
        <is>
          <t>Phase 1</t>
        </is>
      </c>
      <c r="B37" s="128" t="inlineStr">
        <is>
          <t>Enable solution checker enforcement</t>
        </is>
      </c>
      <c r="C37" s="128" t="inlineStr">
        <is>
          <t>2.10</t>
        </is>
      </c>
      <c r="D37" s="128" t="inlineStr">
        <is>
          <t>Power Platform Admin</t>
        </is>
      </c>
      <c r="E37" s="128" t="inlineStr">
        <is>
          <t>Week 2</t>
        </is>
      </c>
      <c r="F37" s="128" t="inlineStr">
        <is>
          <t>NOT STARTED</t>
        </is>
      </c>
    </row>
    <row r="40">
      <c r="A40" s="142" t="inlineStr">
        <is>
          <t>PHASE 2: SECURITY ENHANCEMENTS</t>
        </is>
      </c>
    </row>
    <row r="41">
      <c r="A41" s="149" t="inlineStr">
        <is>
          <t>Phase</t>
        </is>
      </c>
      <c r="B41" s="149" t="inlineStr">
        <is>
          <t>Task</t>
        </is>
      </c>
      <c r="C41" s="149" t="inlineStr">
        <is>
          <t>Control ID</t>
        </is>
      </c>
      <c r="D41" s="149" t="inlineStr">
        <is>
          <t>Owner</t>
        </is>
      </c>
      <c r="E41" s="149" t="inlineStr">
        <is>
          <t>Target Date</t>
        </is>
      </c>
      <c r="F41" s="149" t="inlineStr">
        <is>
          <t>Status</t>
        </is>
      </c>
    </row>
    <row r="42">
      <c r="A42" s="128" t="inlineStr">
        <is>
          <t>Phase 2</t>
        </is>
      </c>
      <c r="B42" s="128" t="inlineStr">
        <is>
          <t>Implement sensitivity labels for agent sources</t>
        </is>
      </c>
      <c r="C42" s="128" t="inlineStr">
        <is>
          <t>1.16</t>
        </is>
      </c>
      <c r="D42" s="128" t="inlineStr">
        <is>
          <t>Compliance Admin</t>
        </is>
      </c>
      <c r="E42" s="128" t="inlineStr">
        <is>
          <t>Week 3</t>
        </is>
      </c>
      <c r="F42" s="128" t="inlineStr">
        <is>
          <t>NOT STARTED</t>
        </is>
      </c>
    </row>
    <row r="43">
      <c r="A43" s="128" t="inlineStr">
        <is>
          <t>Phase 2</t>
        </is>
      </c>
      <c r="B43" s="128" t="inlineStr">
        <is>
          <t>Configure oversharing assessments</t>
        </is>
      </c>
      <c r="C43" s="128" t="inlineStr">
        <is>
          <t>1.17</t>
        </is>
      </c>
      <c r="D43" s="128" t="inlineStr">
        <is>
          <t>Compliance Admin</t>
        </is>
      </c>
      <c r="E43" s="128" t="inlineStr">
        <is>
          <t>Week 3</t>
        </is>
      </c>
      <c r="F43" s="128" t="inlineStr">
        <is>
          <t>NOT STARTED</t>
        </is>
      </c>
    </row>
    <row r="44">
      <c r="A44" s="128" t="inlineStr">
        <is>
          <t>Phase 2</t>
        </is>
      </c>
      <c r="B44" s="128" t="inlineStr">
        <is>
          <t>Deploy Conditional Access for agents</t>
        </is>
      </c>
      <c r="C44" s="128" t="inlineStr">
        <is>
          <t>1.18</t>
        </is>
      </c>
      <c r="D44" s="128" t="inlineStr">
        <is>
          <t>Security Admin</t>
        </is>
      </c>
      <c r="E44" s="128" t="inlineStr">
        <is>
          <t>Week 3</t>
        </is>
      </c>
      <c r="F44" s="128" t="inlineStr">
        <is>
          <t>NOT STARTED</t>
        </is>
      </c>
    </row>
    <row r="45">
      <c r="A45" s="128" t="inlineStr">
        <is>
          <t>Phase 2</t>
        </is>
      </c>
      <c r="B45" s="128" t="inlineStr">
        <is>
          <t>Enable cost management and billing</t>
        </is>
      </c>
      <c r="C45" s="128" t="inlineStr">
        <is>
          <t>3.5</t>
        </is>
      </c>
      <c r="D45" s="128" t="inlineStr">
        <is>
          <t>Finance/IT Admin</t>
        </is>
      </c>
      <c r="E45" s="128" t="inlineStr">
        <is>
          <t>Week 3</t>
        </is>
      </c>
      <c r="F45" s="128" t="inlineStr">
        <is>
          <t>NOT STARTED</t>
        </is>
      </c>
    </row>
    <row r="46">
      <c r="A46" s="128" t="inlineStr">
        <is>
          <t>Phase 2</t>
        </is>
      </c>
      <c r="B46" s="128" t="inlineStr">
        <is>
          <t>Configure ownerless agent detection</t>
        </is>
      </c>
      <c r="C46" s="128" t="inlineStr">
        <is>
          <t>3.6</t>
        </is>
      </c>
      <c r="D46" s="128" t="inlineStr">
        <is>
          <t>Power Platform Admin</t>
        </is>
      </c>
      <c r="E46" s="128" t="inlineStr">
        <is>
          <t>Week 4</t>
        </is>
      </c>
      <c r="F46" s="128" t="inlineStr">
        <is>
          <t>NOT STARTED</t>
        </is>
      </c>
    </row>
    <row r="47">
      <c r="A47" s="128" t="inlineStr">
        <is>
          <t>Phase 2</t>
        </is>
      </c>
      <c r="B47" s="128" t="inlineStr">
        <is>
          <t>Apply RCD to sensitive SharePoint sites</t>
        </is>
      </c>
      <c r="C47" s="128" t="inlineStr">
        <is>
          <t>4.1</t>
        </is>
      </c>
      <c r="D47" s="128" t="inlineStr">
        <is>
          <t>SharePoint Admin</t>
        </is>
      </c>
      <c r="E47" s="128" t="inlineStr">
        <is>
          <t>Week 3</t>
        </is>
      </c>
      <c r="F47" s="128" t="inlineStr">
        <is>
          <t>NOT STARTED</t>
        </is>
      </c>
    </row>
    <row r="48">
      <c r="A48" s="128" t="inlineStr">
        <is>
          <t>Phase 2</t>
        </is>
      </c>
      <c r="B48" s="128" t="inlineStr">
        <is>
          <t>Configure site access reviews</t>
        </is>
      </c>
      <c r="C48" s="128" t="inlineStr">
        <is>
          <t>4.2</t>
        </is>
      </c>
      <c r="D48" s="128" t="inlineStr">
        <is>
          <t>Identity Admin</t>
        </is>
      </c>
      <c r="E48" s="128" t="inlineStr">
        <is>
          <t>Week 4</t>
        </is>
      </c>
      <c r="F48" s="128" t="inlineStr">
        <is>
          <t>NOT STARTED</t>
        </is>
      </c>
    </row>
    <row r="49">
      <c r="A49" s="128" t="inlineStr">
        <is>
          <t>Phase 2</t>
        </is>
      </c>
      <c r="B49" s="128" t="inlineStr">
        <is>
          <t>Enable block download for agent sources</t>
        </is>
      </c>
      <c r="C49" s="128" t="inlineStr">
        <is>
          <t>4.3</t>
        </is>
      </c>
      <c r="D49" s="128" t="inlineStr">
        <is>
          <t>SharePoint Admin</t>
        </is>
      </c>
      <c r="E49" s="128" t="inlineStr">
        <is>
          <t>Week 4</t>
        </is>
      </c>
      <c r="F49" s="128" t="inlineStr">
        <is>
          <t>NOT STARTED</t>
        </is>
      </c>
    </row>
    <row r="50">
      <c r="A50" s="128" t="inlineStr">
        <is>
          <t>Phase 2</t>
        </is>
      </c>
      <c r="B50" s="128" t="inlineStr">
        <is>
          <t>Set up agent insight reports</t>
        </is>
      </c>
      <c r="C50" s="128" t="inlineStr">
        <is>
          <t>4.4</t>
        </is>
      </c>
      <c r="D50" s="128" t="inlineStr">
        <is>
          <t>SharePoint Admin</t>
        </is>
      </c>
      <c r="E50" s="128" t="inlineStr">
        <is>
          <t>Week 4</t>
        </is>
      </c>
      <c r="F50" s="128" t="inlineStr">
        <is>
          <t>NOT STARTED</t>
        </is>
      </c>
    </row>
    <row r="51">
      <c r="A51" s="128" t="inlineStr">
        <is>
          <t>Phase 2</t>
        </is>
      </c>
      <c r="B51" s="128" t="inlineStr">
        <is>
          <t>Configure site sharing restrictions</t>
        </is>
      </c>
      <c r="C51" s="128" t="inlineStr">
        <is>
          <t>4.5</t>
        </is>
      </c>
      <c r="D51" s="128" t="inlineStr">
        <is>
          <t>SharePoint Admin</t>
        </is>
      </c>
      <c r="E51" s="128" t="inlineStr">
        <is>
          <t>Week 4</t>
        </is>
      </c>
      <c r="F51" s="128" t="inlineStr">
        <is>
          <t>NOT STARTED</t>
        </is>
      </c>
    </row>
    <row r="54">
      <c r="A54" s="142" t="inlineStr">
        <is>
          <t>PHASE 3: ADVANCED GOVERNANCE</t>
        </is>
      </c>
    </row>
    <row r="55">
      <c r="A55" s="149" t="inlineStr">
        <is>
          <t>Phase</t>
        </is>
      </c>
      <c r="B55" s="149" t="inlineStr">
        <is>
          <t>Task</t>
        </is>
      </c>
      <c r="C55" s="149" t="inlineStr">
        <is>
          <t>Control ID</t>
        </is>
      </c>
      <c r="D55" s="149" t="inlineStr">
        <is>
          <t>Owner</t>
        </is>
      </c>
      <c r="E55" s="149" t="inlineStr">
        <is>
          <t>Target Date</t>
        </is>
      </c>
      <c r="F55" s="149" t="inlineStr">
        <is>
          <t>Status</t>
        </is>
      </c>
    </row>
    <row r="56">
      <c r="A56" s="128" t="inlineStr">
        <is>
          <t>Phase 3</t>
        </is>
      </c>
      <c r="B56" s="128" t="inlineStr">
        <is>
          <t>Configure skills and plugins controls</t>
        </is>
      </c>
      <c r="C56" s="128" t="inlineStr">
        <is>
          <t>2.11</t>
        </is>
      </c>
      <c r="D56" s="128" t="inlineStr">
        <is>
          <t>Power Platform Admin</t>
        </is>
      </c>
      <c r="E56" s="128" t="inlineStr">
        <is>
          <t>Week 5</t>
        </is>
      </c>
      <c r="F56" s="128" t="inlineStr">
        <is>
          <t>NOT STARTED</t>
        </is>
      </c>
    </row>
    <row r="57">
      <c r="A57" s="128" t="inlineStr">
        <is>
          <t>Phase 3</t>
        </is>
      </c>
      <c r="B57" s="128" t="inlineStr">
        <is>
          <t>Implement autonomous agent controls</t>
        </is>
      </c>
      <c r="C57" s="128" t="inlineStr">
        <is>
          <t>2.12</t>
        </is>
      </c>
      <c r="D57" s="128" t="inlineStr">
        <is>
          <t>AI Administrator</t>
        </is>
      </c>
      <c r="E57" s="128" t="inlineStr">
        <is>
          <t>Week 5</t>
        </is>
      </c>
      <c r="F57" s="128" t="inlineStr">
        <is>
          <t>NOT STARTED</t>
        </is>
      </c>
    </row>
    <row r="58">
      <c r="A58" s="128" t="inlineStr">
        <is>
          <t>Phase 3</t>
        </is>
      </c>
      <c r="B58" s="128" t="inlineStr">
        <is>
          <t>Lock authentication rules via Environment Groups</t>
        </is>
      </c>
      <c r="C58" s="128" t="inlineStr">
        <is>
          <t>2.13</t>
        </is>
      </c>
      <c r="D58" s="128" t="inlineStr">
        <is>
          <t>Power Platform Admin</t>
        </is>
      </c>
      <c r="E58" s="128" t="inlineStr">
        <is>
          <t>Week 5</t>
        </is>
      </c>
      <c r="F58" s="128" t="inlineStr">
        <is>
          <t>NOT STARTED</t>
        </is>
      </c>
    </row>
    <row r="59">
      <c r="A59" s="128" t="inlineStr">
        <is>
          <t>Phase 3</t>
        </is>
      </c>
      <c r="B59" s="128" t="inlineStr">
        <is>
          <t>Configure channel rules per zone</t>
        </is>
      </c>
      <c r="C59" s="128" t="inlineStr">
        <is>
          <t>2.14</t>
        </is>
      </c>
      <c r="D59" s="128" t="inlineStr">
        <is>
          <t>Power Platform Admin</t>
        </is>
      </c>
      <c r="E59" s="128" t="inlineStr">
        <is>
          <t>Week 5</t>
        </is>
      </c>
      <c r="F59" s="128" t="inlineStr">
        <is>
          <t>NOT STARTED</t>
        </is>
      </c>
    </row>
    <row r="60">
      <c r="A60" s="128" t="inlineStr">
        <is>
          <t>Phase 3</t>
        </is>
      </c>
      <c r="B60" s="128" t="inlineStr">
        <is>
          <t>Update all Admin Paths documentation</t>
        </is>
      </c>
      <c r="C60" s="128" t="inlineStr">
        <is>
          <t>All</t>
        </is>
      </c>
      <c r="D60" s="128" t="inlineStr">
        <is>
          <t>Documentation Lead</t>
        </is>
      </c>
      <c r="E60" s="128" t="inlineStr">
        <is>
          <t>Week 6</t>
        </is>
      </c>
      <c r="F60" s="128" t="inlineStr">
        <is>
          <t>NOT STARTED</t>
        </is>
      </c>
    </row>
    <row r="61">
      <c r="A61" s="128" t="inlineStr">
        <is>
          <t>Phase 3</t>
        </is>
      </c>
      <c r="B61" s="128" t="inlineStr">
        <is>
          <t>Deploy operational runbooks</t>
        </is>
      </c>
      <c r="C61" s="128" t="inlineStr">
        <is>
          <t>All</t>
        </is>
      </c>
      <c r="D61" s="128" t="inlineStr">
        <is>
          <t>Operations Lead</t>
        </is>
      </c>
      <c r="E61" s="128" t="inlineStr">
        <is>
          <t>Week 6</t>
        </is>
      </c>
      <c r="F61" s="128" t="inlineStr">
        <is>
          <t>NOT STARTED</t>
        </is>
      </c>
    </row>
    <row r="62">
      <c r="A62" s="128" t="inlineStr">
        <is>
          <t>Phase 3</t>
        </is>
      </c>
      <c r="B62" s="128" t="inlineStr">
        <is>
          <t>Train administrators on new controls</t>
        </is>
      </c>
      <c r="C62" s="128" t="inlineStr">
        <is>
          <t>All</t>
        </is>
      </c>
      <c r="D62" s="128" t="inlineStr">
        <is>
          <t>Training Lead</t>
        </is>
      </c>
      <c r="E62" s="128" t="inlineStr">
        <is>
          <t>Week 6</t>
        </is>
      </c>
      <c r="F62" s="128" t="inlineStr">
        <is>
          <t>NOT STARTED</t>
        </is>
      </c>
    </row>
    <row r="63">
      <c r="A63" s="128" t="inlineStr">
        <is>
          <t>Phase 3</t>
        </is>
      </c>
      <c r="B63" s="128" t="inlineStr">
        <is>
          <t>Conduct end-to-end validation testing</t>
        </is>
      </c>
      <c r="C63" s="128" t="inlineStr">
        <is>
          <t>All</t>
        </is>
      </c>
      <c r="D63" s="128" t="inlineStr">
        <is>
          <t>QA Lead</t>
        </is>
      </c>
      <c r="E63" s="128" t="inlineStr">
        <is>
          <t>Week 6</t>
        </is>
      </c>
      <c r="F63" s="128" t="inlineStr">
        <is>
          <t>NOT STARTED</t>
        </is>
      </c>
    </row>
    <row r="66">
      <c r="A66" s="142" t="inlineStr">
        <is>
          <t>PHASE 4: FINALIZATION &amp; VALIDATION</t>
        </is>
      </c>
    </row>
    <row r="67">
      <c r="A67" s="149" t="inlineStr">
        <is>
          <t>Phase</t>
        </is>
      </c>
      <c r="B67" s="149" t="inlineStr">
        <is>
          <t>Task</t>
        </is>
      </c>
      <c r="C67" s="149" t="inlineStr">
        <is>
          <t>Control ID</t>
        </is>
      </c>
      <c r="D67" s="149" t="inlineStr">
        <is>
          <t>Owner</t>
        </is>
      </c>
      <c r="E67" s="149" t="inlineStr">
        <is>
          <t>Target Date</t>
        </is>
      </c>
      <c r="F67" s="149" t="inlineStr">
        <is>
          <t>Status</t>
        </is>
      </c>
    </row>
    <row r="68">
      <c r="A68" s="128" t="inlineStr">
        <is>
          <t>Phase 4</t>
        </is>
      </c>
      <c r="B68" s="128" t="inlineStr">
        <is>
          <t>Complete all control verification checklists</t>
        </is>
      </c>
      <c r="C68" s="128" t="inlineStr">
        <is>
          <t>All</t>
        </is>
      </c>
      <c r="D68" s="128" t="inlineStr">
        <is>
          <t>QA Lead</t>
        </is>
      </c>
      <c r="E68" s="128" t="inlineStr">
        <is>
          <t>Week 7</t>
        </is>
      </c>
      <c r="F68" s="128" t="inlineStr">
        <is>
          <t>NOT STARTED</t>
        </is>
      </c>
    </row>
    <row r="69">
      <c r="A69" s="128" t="inlineStr">
        <is>
          <t>Phase 4</t>
        </is>
      </c>
      <c r="B69" s="128" t="inlineStr">
        <is>
          <t>Update Dashboard with final control counts</t>
        </is>
      </c>
      <c r="C69" s="128" t="inlineStr">
        <is>
          <t>N/A</t>
        </is>
      </c>
      <c r="D69" s="128" t="inlineStr">
        <is>
          <t>Documentation Lead</t>
        </is>
      </c>
      <c r="E69" s="128" t="inlineStr">
        <is>
          <t>Week 7</t>
        </is>
      </c>
      <c r="F69" s="128" t="inlineStr">
        <is>
          <t>NOT STARTED</t>
        </is>
      </c>
    </row>
    <row r="70">
      <c r="A70" s="128" t="inlineStr">
        <is>
          <t>Phase 4</t>
        </is>
      </c>
      <c r="B70" s="128" t="inlineStr">
        <is>
          <t>Validate compliance matrix completeness</t>
        </is>
      </c>
      <c r="C70" s="128" t="inlineStr">
        <is>
          <t>All</t>
        </is>
      </c>
      <c r="D70" s="128" t="inlineStr">
        <is>
          <t>Compliance Officer</t>
        </is>
      </c>
      <c r="E70" s="128" t="inlineStr">
        <is>
          <t>Week 7</t>
        </is>
      </c>
      <c r="F70" s="128" t="inlineStr">
        <is>
          <t>NOT STARTED</t>
        </is>
      </c>
    </row>
    <row r="71">
      <c r="A71" s="128" t="inlineStr">
        <is>
          <t>Phase 4</t>
        </is>
      </c>
      <c r="B71" s="128" t="inlineStr">
        <is>
          <t>Conduct regulatory exam prep review</t>
        </is>
      </c>
      <c r="C71" s="128" t="inlineStr">
        <is>
          <t>All</t>
        </is>
      </c>
      <c r="D71" s="128" t="inlineStr">
        <is>
          <t>Compliance Officer</t>
        </is>
      </c>
      <c r="E71" s="128" t="inlineStr">
        <is>
          <t>Week 7</t>
        </is>
      </c>
      <c r="F71" s="128" t="inlineStr">
        <is>
          <t>NOT STARTED</t>
        </is>
      </c>
    </row>
    <row r="72">
      <c r="A72" s="128" t="inlineStr">
        <is>
          <t>Phase 4</t>
        </is>
      </c>
      <c r="B72" s="128" t="inlineStr">
        <is>
          <t>Merge Word addendums into main document</t>
        </is>
      </c>
      <c r="C72" s="128" t="inlineStr">
        <is>
          <t>N/A</t>
        </is>
      </c>
      <c r="D72" s="128" t="inlineStr">
        <is>
          <t>Documentation Lead</t>
        </is>
      </c>
      <c r="E72" s="128" t="inlineStr">
        <is>
          <t>Week 8</t>
        </is>
      </c>
      <c r="F72" s="128" t="inlineStr">
        <is>
          <t>NOT STARTED</t>
        </is>
      </c>
    </row>
    <row r="73">
      <c r="A73" s="128" t="inlineStr">
        <is>
          <t>Phase 4</t>
        </is>
      </c>
      <c r="B73" s="128" t="inlineStr">
        <is>
          <t>Prepare executive summary</t>
        </is>
      </c>
      <c r="C73" s="128" t="inlineStr">
        <is>
          <t>All</t>
        </is>
      </c>
      <c r="D73" s="128" t="inlineStr">
        <is>
          <t>AI Governance Lead</t>
        </is>
      </c>
      <c r="E73" s="128" t="inlineStr">
        <is>
          <t>Week 8</t>
        </is>
      </c>
      <c r="F73" s="128" t="inlineStr">
        <is>
          <t>NOT STARTED</t>
        </is>
      </c>
    </row>
    <row r="74">
      <c r="A74" s="128" t="inlineStr">
        <is>
          <t>Phase 4</t>
        </is>
      </c>
      <c r="B74" s="128" t="inlineStr">
        <is>
          <t>Conduct stakeholder review meeting</t>
        </is>
      </c>
      <c r="C74" s="128" t="inlineStr">
        <is>
          <t>All</t>
        </is>
      </c>
      <c r="D74" s="128" t="inlineStr">
        <is>
          <t>AI Governance Lead</t>
        </is>
      </c>
      <c r="E74" s="128" t="inlineStr">
        <is>
          <t>Week 8</t>
        </is>
      </c>
      <c r="F74" s="128" t="inlineStr">
        <is>
          <t>NOT STARTED</t>
        </is>
      </c>
    </row>
    <row r="75">
      <c r="A75" s="128" t="inlineStr">
        <is>
          <t>Phase 4</t>
        </is>
      </c>
      <c r="B75" s="128" t="inlineStr">
        <is>
          <t>Obtain sign-off from Compliance Officer</t>
        </is>
      </c>
      <c r="C75" s="128" t="inlineStr">
        <is>
          <t>All</t>
        </is>
      </c>
      <c r="D75" s="128" t="inlineStr">
        <is>
          <t>Compliance Officer</t>
        </is>
      </c>
      <c r="E75" s="128" t="inlineStr">
        <is>
          <t>Week 8</t>
        </is>
      </c>
      <c r="F75" s="128" t="inlineStr">
        <is>
          <t>NOT STARTED</t>
        </is>
      </c>
    </row>
    <row r="76">
      <c r="A76" s="128" t="inlineStr">
        <is>
          <t>Phase 4</t>
        </is>
      </c>
      <c r="B76" s="128" t="inlineStr">
        <is>
          <t>Publish final governance framework</t>
        </is>
      </c>
      <c r="C76" s="128" t="inlineStr">
        <is>
          <t>All</t>
        </is>
      </c>
      <c r="D76" s="128" t="inlineStr">
        <is>
          <t>AI Governance Lead</t>
        </is>
      </c>
      <c r="E76" s="128" t="inlineStr">
        <is>
          <t>Week 8</t>
        </is>
      </c>
      <c r="F76" s="128" t="inlineStr">
        <is>
          <t>NOT STARTED</t>
        </is>
      </c>
    </row>
  </sheetData>
  <mergeCells count="5">
    <mergeCell ref="A54:F54"/>
    <mergeCell ref="A66:F66"/>
    <mergeCell ref="A1:E1"/>
    <mergeCell ref="A40:F40"/>
    <mergeCell ref="A25:F25"/>
  </mergeCells>
  <conditionalFormatting sqref="D3:D31">
    <cfRule type="containsText" priority="6" operator="containsText" dxfId="47" text="Not Started">
      <formula>NOT(ISERROR(SEARCH("Not Started",D3)))</formula>
    </cfRule>
    <cfRule type="containsText" priority="7" operator="containsText" dxfId="46" text="In Progress">
      <formula>NOT(ISERROR(SEARCH("In Progress",D3)))</formula>
    </cfRule>
    <cfRule type="containsText" priority="8" operator="containsText" dxfId="40" text="Completed">
      <formula>NOT(ISERROR(SEARCH("Completed",D3)))</formula>
    </cfRule>
    <cfRule type="containsText" priority="9" operator="containsText" dxfId="44" text="Blocked">
      <formula>NOT(ISERROR(SEARCH("Blocked",D3)))</formula>
    </cfRule>
    <cfRule type="containsText" priority="10" operator="containsText" dxfId="43" text="On Hold">
      <formula>NOT(ISERROR(SEARCH("On Hold",D3)))</formula>
    </cfRule>
  </conditionalFormatting>
  <conditionalFormatting sqref="D3:H21">
    <cfRule type="containsText" priority="1" operator="containsText" dxfId="42" text="Not Started">
      <formula>NOT(ISERROR(SEARCH("Not Started",D3)))</formula>
    </cfRule>
    <cfRule type="containsText" priority="2" operator="containsText" dxfId="41" text="In Progress">
      <formula>NOT(ISERROR(SEARCH("In Progress",D3)))</formula>
    </cfRule>
    <cfRule type="containsText" priority="3" operator="containsText" dxfId="40" text="Completed">
      <formula>NOT(ISERROR(SEARCH("Completed",D3)))</formula>
    </cfRule>
    <cfRule type="containsText" priority="4" operator="containsText" dxfId="39" text="Blocked">
      <formula>NOT(ISERROR(SEARCH("Blocked",D3)))</formula>
    </cfRule>
    <cfRule type="containsText" priority="5" operator="containsText" dxfId="38" text="On Hold">
      <formula>NOT(ISERROR(SEARCH("On Hold",D3)))</formula>
    </cfRule>
  </conditionalFormatting>
  <conditionalFormatting sqref="G3:G31">
    <cfRule type="containsText" priority="11" operator="containsText" dxfId="37" text="0%">
      <formula>NOT(ISERROR(SEARCH("0%",G3)))</formula>
    </cfRule>
    <cfRule type="containsText" priority="12" operator="containsText" dxfId="36" text="25%">
      <formula>NOT(ISERROR(SEARCH("25%",G3)))</formula>
    </cfRule>
    <cfRule type="containsText" priority="13" operator="containsText" dxfId="35" text="50%">
      <formula>NOT(ISERROR(SEARCH("50%",G3)))</formula>
    </cfRule>
    <cfRule type="containsText" priority="14" operator="containsText" dxfId="34" text="75%">
      <formula>NOT(ISERROR(SEARCH("75%",G3)))</formula>
    </cfRule>
    <cfRule type="containsText" priority="15" operator="containsText" dxfId="33" text="100%">
      <formula>NOT(ISERROR(SEARCH("100%",G3)))</formula>
    </cfRule>
  </conditionalFormatting>
  <dataValidations count="2">
    <dataValidation sqref="D3:D31 E3:F21 H3:H21" showDropDown="0" showInputMessage="1" showErrorMessage="1" allowBlank="1" type="list">
      <formula1>"Not Started,In Progress,Completed,Blocked,On Hold"</formula1>
    </dataValidation>
    <dataValidation sqref="G3:G31" showDropDown="0" showInputMessage="1" showErrorMessage="1" allowBlank="1" type="list">
      <formula1>"0%,25%,50%,75%,100%"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D4" sqref="D4"/>
    </sheetView>
  </sheetViews>
  <sheetFormatPr baseColWidth="8" defaultRowHeight="14.45"/>
  <cols>
    <col width="32" bestFit="1" customWidth="1" style="64" min="1" max="1"/>
    <col width="34.140625" bestFit="1" customWidth="1" style="64" min="2" max="2"/>
    <col width="38.140625" bestFit="1" customWidth="1" style="64" min="3" max="3"/>
    <col width="27.5703125" customWidth="1" style="101" min="4" max="4"/>
    <col width="25.42578125" customWidth="1" style="101" min="5" max="5"/>
  </cols>
  <sheetData>
    <row r="1" ht="18" customHeight="1" s="101">
      <c r="A1" s="13" t="inlineStr">
        <is>
          <t>KEY CONTACT INFORMATION</t>
        </is>
      </c>
      <c r="B1" s="7" t="n"/>
      <c r="C1" s="7" t="n"/>
    </row>
    <row r="2" ht="18" customHeight="1" s="101">
      <c r="A2" s="5" t="inlineStr">
        <is>
          <t>Role</t>
        </is>
      </c>
      <c r="B2" s="5" t="inlineStr">
        <is>
          <t>Name</t>
        </is>
      </c>
      <c r="C2" s="5" t="inlineStr">
        <is>
          <t>Contact Information</t>
        </is>
      </c>
      <c r="D2" s="5" t="inlineStr">
        <is>
          <t>Response SLA</t>
        </is>
      </c>
      <c r="E2" s="5" t="inlineStr">
        <is>
          <t>Backup Contact</t>
        </is>
      </c>
    </row>
    <row r="3" ht="18" customHeight="1" s="101">
      <c r="A3" s="2" t="inlineStr">
        <is>
          <t>AI Governance Committee Lead</t>
        </is>
      </c>
      <c r="B3" s="2" t="inlineStr">
        <is>
          <t>[Update with your name]</t>
        </is>
      </c>
      <c r="C3" s="2" t="inlineStr">
        <is>
          <t>[Update with email/phone]</t>
        </is>
      </c>
      <c r="D3" s="2" t="inlineStr">
        <is>
          <t>4 hours (business)</t>
        </is>
      </c>
      <c r="E3" s="2" t="inlineStr">
        <is>
          <t>[Backup name/email]</t>
        </is>
      </c>
    </row>
    <row r="4" ht="18" customHeight="1" s="101">
      <c r="A4" s="2" t="inlineStr">
        <is>
          <t>Power Platform Administrator</t>
        </is>
      </c>
      <c r="B4" s="2" t="inlineStr">
        <is>
          <t>[Update with your name]</t>
        </is>
      </c>
      <c r="C4" s="2" t="inlineStr">
        <is>
          <t>[Update with email/phone]</t>
        </is>
      </c>
      <c r="D4" s="2" t="inlineStr">
        <is>
          <t>2 hours (business)</t>
        </is>
      </c>
      <c r="E4" s="2" t="inlineStr">
        <is>
          <t>[Backup name/email]</t>
        </is>
      </c>
    </row>
    <row r="5" ht="18" customHeight="1" s="101">
      <c r="A5" s="2" t="inlineStr">
        <is>
          <t>Compliance Officer</t>
        </is>
      </c>
      <c r="B5" s="2" t="inlineStr">
        <is>
          <t>[Update with your name]</t>
        </is>
      </c>
      <c r="C5" s="2" t="inlineStr">
        <is>
          <t>[Update with email/phone]</t>
        </is>
      </c>
      <c r="D5" s="2" t="inlineStr">
        <is>
          <t>4 hours (business)</t>
        </is>
      </c>
      <c r="E5" s="2" t="inlineStr">
        <is>
          <t>[Backup name/email]</t>
        </is>
      </c>
    </row>
    <row r="6" ht="18" customHeight="1" s="101">
      <c r="A6" s="2" t="inlineStr">
        <is>
          <t>Security Operations Center</t>
        </is>
      </c>
      <c r="B6" s="2" t="inlineStr">
        <is>
          <t>[Update with name/team]</t>
        </is>
      </c>
      <c r="C6" s="2" t="inlineStr">
        <is>
          <t>[Update with email/phone]</t>
        </is>
      </c>
      <c r="D6" s="2" t="inlineStr">
        <is>
          <t>1 hour (24/7)</t>
        </is>
      </c>
      <c r="E6" s="2" t="inlineStr">
        <is>
          <t>[SOC Team email]</t>
        </is>
      </c>
    </row>
    <row r="7" ht="18" customHeight="1" s="101">
      <c r="A7" s="2" t="inlineStr">
        <is>
          <t>Legal / Regulatory Affairs</t>
        </is>
      </c>
      <c r="B7" s="2" t="inlineStr">
        <is>
          <t>[Update with name/team]</t>
        </is>
      </c>
      <c r="C7" s="2" t="inlineStr">
        <is>
          <t>[Update with email/phone]</t>
        </is>
      </c>
      <c r="D7" s="2" t="inlineStr">
        <is>
          <t>Same business day</t>
        </is>
      </c>
      <c r="E7" s="2" t="inlineStr">
        <is>
          <t>[Backup name/email]</t>
        </is>
      </c>
    </row>
    <row r="8" ht="18" customHeight="1" s="101">
      <c r="A8" s="2" t="inlineStr">
        <is>
          <t>CISO</t>
        </is>
      </c>
      <c r="B8" s="2" t="inlineStr">
        <is>
          <t>[Update with your name]</t>
        </is>
      </c>
      <c r="C8" s="2" t="inlineStr">
        <is>
          <t>[Update with email/phone]</t>
        </is>
      </c>
      <c r="D8" s="2" t="inlineStr">
        <is>
          <t>2 hours (business)</t>
        </is>
      </c>
      <c r="E8" s="2" t="inlineStr">
        <is>
          <t>[Deputy CISO]</t>
        </is>
      </c>
    </row>
    <row r="9" ht="18" customHeight="1" s="101">
      <c r="A9" s="2" t="inlineStr">
        <is>
          <t>Internal Audit</t>
        </is>
      </c>
      <c r="B9" s="2" t="inlineStr">
        <is>
          <t>[Update with name/team]</t>
        </is>
      </c>
      <c r="C9" s="2" t="inlineStr">
        <is>
          <t>[Update with email/phone]</t>
        </is>
      </c>
      <c r="D9" s="2" t="inlineStr">
        <is>
          <t>Same business day</t>
        </is>
      </c>
      <c r="E9" s="2" t="inlineStr">
        <is>
          <t>[Backup name/email]</t>
        </is>
      </c>
    </row>
    <row r="10" ht="18" customHeight="1" s="101">
      <c r="A10" s="3" t="n"/>
      <c r="B10" s="3" t="n"/>
      <c r="C10" s="3" t="n"/>
    </row>
    <row r="11" ht="18" customHeight="1" s="101">
      <c r="A11" s="12" t="inlineStr">
        <is>
          <t>ESCALATION PROCEDURES</t>
        </is>
      </c>
      <c r="B11" s="12" t="n"/>
      <c r="C11" s="12" t="n"/>
    </row>
    <row r="12" ht="18" customHeight="1" s="101">
      <c r="A12" s="5" t="inlineStr">
        <is>
          <t>Scenario</t>
        </is>
      </c>
      <c r="B12" s="5" t="inlineStr">
        <is>
          <t>Immediate Action</t>
        </is>
      </c>
      <c r="C12" s="5" t="inlineStr">
        <is>
          <t>Escalate To</t>
        </is>
      </c>
      <c r="D12" s="5" t="inlineStr">
        <is>
          <t>Response Time</t>
        </is>
      </c>
    </row>
    <row r="13" ht="18" customHeight="1" s="101">
      <c r="A13" s="2" t="inlineStr">
        <is>
          <t>Security incident detected by DSPM</t>
        </is>
      </c>
      <c r="B13" s="2" t="inlineStr">
        <is>
          <t>Block agent, preserve logs</t>
        </is>
      </c>
      <c r="C13" s="2" t="inlineStr">
        <is>
          <t>Security team, Legal, Compliance Officer</t>
        </is>
      </c>
      <c r="D13" s="2" t="inlineStr">
        <is>
          <t>Immediate</t>
        </is>
      </c>
    </row>
    <row r="14" ht="18" customHeight="1" s="101">
      <c r="A14" s="2" t="inlineStr">
        <is>
          <t>Agent deleted from production</t>
        </is>
      </c>
      <c r="B14" s="2" t="inlineStr">
        <is>
          <t>Investigate within 1 hour</t>
        </is>
      </c>
      <c r="C14" s="2" t="inlineStr">
        <is>
          <t>Compliance Officer, CISO</t>
        </is>
      </c>
      <c r="D14" s="2" t="inlineStr">
        <is>
          <t>1 hour</t>
        </is>
      </c>
    </row>
    <row r="15" ht="18" customHeight="1" s="101">
      <c r="A15" s="2" t="inlineStr">
        <is>
          <t>DLP policy violation</t>
        </is>
      </c>
      <c r="B15" s="2" t="inlineStr">
        <is>
          <t>Notify agent owner, document reason</t>
        </is>
      </c>
      <c r="C15" s="2" t="inlineStr">
        <is>
          <t>Compliance team, manager</t>
        </is>
      </c>
      <c r="D15" s="2" t="inlineStr">
        <is>
          <t>4 hours</t>
        </is>
      </c>
    </row>
    <row r="16" ht="18" customHeight="1" s="101">
      <c r="A16" s="2" t="inlineStr">
        <is>
          <t>Runtime protection threat detected</t>
        </is>
      </c>
      <c r="B16" s="2" t="inlineStr">
        <is>
          <t>Quarantine agent immediately</t>
        </is>
      </c>
      <c r="C16" s="2" t="inlineStr">
        <is>
          <t>Security team, CISO</t>
        </is>
      </c>
      <c r="D16" s="2" t="inlineStr">
        <is>
          <t>Immediate</t>
        </is>
      </c>
    </row>
    <row r="17" ht="18" customHeight="1" s="101">
      <c r="A17" s="2" t="inlineStr">
        <is>
          <t>Unauthorized agent creation</t>
        </is>
      </c>
      <c r="B17" s="2" t="inlineStr">
        <is>
          <t>Block agent, investigate creator</t>
        </is>
      </c>
      <c r="C17" s="2" t="inlineStr">
        <is>
          <t>Compliance Officer, Security Administrator</t>
        </is>
      </c>
      <c r="D17" s="2" t="inlineStr">
        <is>
          <t>1 hour</t>
        </is>
      </c>
    </row>
    <row r="18" ht="18" customHeight="1" s="101">
      <c r="A18" s="2" t="inlineStr">
        <is>
          <t>Bulk agent modifications detected</t>
        </is>
      </c>
      <c r="B18" s="2" t="inlineStr">
        <is>
          <t>Pause agent access, investigate</t>
        </is>
      </c>
      <c r="C18" s="2" t="inlineStr">
        <is>
          <t>Security team (4-hour investigation SLA)</t>
        </is>
      </c>
      <c r="D18" s="2" t="inlineStr">
        <is>
          <t>4 hours</t>
        </is>
      </c>
    </row>
    <row r="19" ht="18" customHeight="1" s="101">
      <c r="A19" s="2" t="inlineStr">
        <is>
          <t>Audit log anomalies</t>
        </is>
      </c>
      <c r="B19" s="2" t="inlineStr">
        <is>
          <t>Document findings, escalate if pattern</t>
        </is>
      </c>
      <c r="C19" s="2" t="inlineStr">
        <is>
          <t>Compliance Officer, CISO</t>
        </is>
      </c>
      <c r="D19" s="2" t="inlineStr">
        <is>
          <t>24 hours</t>
        </is>
      </c>
    </row>
    <row r="21" ht="15" customHeight="1" s="101">
      <c r="A21" s="83" t="inlineStr">
        <is>
          <t>ZONE 3 ESCALATION SLAs</t>
        </is>
      </c>
    </row>
    <row r="22" ht="15" customHeight="1" s="101">
      <c r="A22" s="76" t="inlineStr">
        <is>
          <t>Escalation Level</t>
        </is>
      </c>
      <c r="B22" s="76" t="inlineStr">
        <is>
          <t>Initial Response</t>
        </is>
      </c>
      <c r="C22" s="76" t="inlineStr">
        <is>
          <t>Investigation SLA</t>
        </is>
      </c>
      <c r="D22" s="77" t="inlineStr">
        <is>
          <t>Resolution Target</t>
        </is>
      </c>
      <c r="E22" s="77" t="inlineStr">
        <is>
          <t>Executive Notification</t>
        </is>
      </c>
    </row>
    <row r="23" ht="15" customHeight="1" s="101">
      <c r="A23" s="84" t="inlineStr">
        <is>
          <t>IMMEDIATE</t>
        </is>
      </c>
      <c r="B23" s="75" t="inlineStr">
        <is>
          <t>Within 15 minutes</t>
        </is>
      </c>
      <c r="C23" s="75" t="inlineStr">
        <is>
          <t>2-4 hours</t>
        </is>
      </c>
      <c r="D23" s="78" t="inlineStr">
        <is>
          <t>Same day</t>
        </is>
      </c>
      <c r="E23" s="78" t="inlineStr">
        <is>
          <t>CISO, CCO within 1 hour</t>
        </is>
      </c>
    </row>
    <row r="24" ht="15" customHeight="1" s="101">
      <c r="A24" s="85" t="inlineStr">
        <is>
          <t>HIGH</t>
        </is>
      </c>
      <c r="B24" s="75" t="inlineStr">
        <is>
          <t>Within 4 hours</t>
        </is>
      </c>
      <c r="C24" s="75" t="inlineStr">
        <is>
          <t>1 business day</t>
        </is>
      </c>
      <c r="D24" s="78" t="inlineStr">
        <is>
          <t>3 business days</t>
        </is>
      </c>
      <c r="E24" s="78" t="inlineStr">
        <is>
          <t>CISO within 8 hours</t>
        </is>
      </c>
    </row>
    <row r="25" ht="15" customHeight="1" s="101">
      <c r="A25" s="86" t="inlineStr">
        <is>
          <t>MEDIUM</t>
        </is>
      </c>
      <c r="B25" s="75" t="inlineStr">
        <is>
          <t>Within 8 hours</t>
        </is>
      </c>
      <c r="C25" s="75" t="inlineStr">
        <is>
          <t>2 business days</t>
        </is>
      </c>
      <c r="D25" s="78" t="inlineStr">
        <is>
          <t>1 week</t>
        </is>
      </c>
      <c r="E25" s="78" t="inlineStr">
        <is>
          <t>Weekly summary</t>
        </is>
      </c>
    </row>
    <row r="26" ht="15" customHeight="1" s="101">
      <c r="A26" s="87" t="inlineStr">
        <is>
          <t>LOW-MEDIUM</t>
        </is>
      </c>
      <c r="B26" s="75" t="inlineStr">
        <is>
          <t>Within 1 business day</t>
        </is>
      </c>
      <c r="C26" s="75" t="inlineStr">
        <is>
          <t>3 business days</t>
        </is>
      </c>
      <c r="D26" s="78" t="inlineStr">
        <is>
          <t>2 weeks</t>
        </is>
      </c>
      <c r="E26" s="78" t="inlineStr">
        <is>
          <t>Monthly report</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sheetPr>
  <dimension ref="A1:B18"/>
  <sheetViews>
    <sheetView tabSelected="1" workbookViewId="0">
      <pane ySplit="1" topLeftCell="A2" activePane="bottomLeft" state="frozen"/>
      <selection pane="bottomLeft" activeCell="A1" sqref="A1"/>
    </sheetView>
  </sheetViews>
  <sheetFormatPr baseColWidth="8" defaultRowHeight="14.45"/>
  <cols>
    <col width="24.28515625" bestFit="1" customWidth="1" style="64" min="1" max="1"/>
    <col width="76.140625" customWidth="1" style="64" min="2" max="2"/>
  </cols>
  <sheetData>
    <row r="1" ht="18" customHeight="1" s="101">
      <c r="A1" s="6" t="inlineStr">
        <is>
          <t>Term</t>
        </is>
      </c>
      <c r="B1" s="5" t="inlineStr">
        <is>
          <t>Definition</t>
        </is>
      </c>
    </row>
    <row r="2" ht="18" customHeight="1" s="101">
      <c r="A2" s="2" t="inlineStr">
        <is>
          <t>Agent</t>
        </is>
      </c>
      <c r="B2" s="2" t="inlineStr">
        <is>
          <t>AI system that can perceive, reason, and take actions autonomously or with human guidance to assist users with tasks</t>
        </is>
      </c>
    </row>
    <row r="3" ht="18" customHeight="1" s="101">
      <c r="A3" s="2" t="inlineStr">
        <is>
          <t>Copilot Studio</t>
        </is>
      </c>
      <c r="B3" s="2" t="inlineStr">
        <is>
          <t>Microsoft's primary agent authoring tool with advanced customization capabilities and enterprise features</t>
        </is>
      </c>
    </row>
    <row r="4" ht="18" customHeight="1" s="101">
      <c r="A4" s="2" t="inlineStr">
        <is>
          <t>DLP (Data Loss Prevention)</t>
        </is>
      </c>
      <c r="B4" s="2" t="inlineStr">
        <is>
          <t>Policy controls preventing sensitive data from being accessed by unauthorized users or external systems</t>
        </is>
      </c>
    </row>
    <row r="5" ht="18" customHeight="1" s="101">
      <c r="A5" s="2" t="inlineStr">
        <is>
          <t>DSPM for AI</t>
        </is>
      </c>
      <c r="B5" s="2" t="inlineStr">
        <is>
          <t>Data Security Posture Management solution monitoring AI interactions and detecting policy violations involving sensitive data</t>
        </is>
      </c>
    </row>
    <row r="6" ht="18" customHeight="1" s="101">
      <c r="A6" s="2" t="inlineStr">
        <is>
          <t>Environment Group</t>
        </is>
      </c>
      <c r="B6" s="2" t="inlineStr">
        <is>
          <t>Collection of Power Platform environments with shared governance rules enforced at group level</t>
        </is>
      </c>
    </row>
    <row r="7" ht="18" customHeight="1" s="101">
      <c r="A7" s="2" t="inlineStr">
        <is>
          <t>Managed Environment</t>
        </is>
      </c>
      <c r="B7" s="2" t="inlineStr">
        <is>
          <t>Power Platform environment with premium governance capabilities (usage insights, maker content, solution checker, limit sharing)</t>
        </is>
      </c>
    </row>
    <row r="8" ht="18" customHeight="1" s="101">
      <c r="A8" s="2" t="inlineStr">
        <is>
          <t>Pillar</t>
        </is>
      </c>
      <c r="B8" s="2" t="inlineStr">
        <is>
          <t>Core governance dimension (Security Controls, Management Controls, Agent Reporting)</t>
        </is>
      </c>
    </row>
    <row r="9" ht="18" customHeight="1" s="101">
      <c r="A9" s="2" t="inlineStr">
        <is>
          <t>Zone</t>
        </is>
      </c>
      <c r="B9" s="2" t="inlineStr">
        <is>
          <t>Governance maturity level from personal development to enterprise deployment (Zone 1, Zone 2, Zone 3)</t>
        </is>
      </c>
    </row>
    <row r="10" ht="18" customHeight="1" s="101">
      <c r="A10" s="2" t="inlineStr">
        <is>
          <t>ALM</t>
        </is>
      </c>
      <c r="B10" s="2" t="inlineStr">
        <is>
          <t>Application Lifecycle Management—processes for developing, testing, and deploying solutions</t>
        </is>
      </c>
    </row>
    <row r="11" ht="18" customHeight="1" s="101">
      <c r="A11" s="2" t="inlineStr">
        <is>
          <t>ACP</t>
        </is>
      </c>
      <c r="B11" s="2" t="inlineStr">
        <is>
          <t>Advanced Connector Policies—granular controls over connector actions at per-connector, per-action level</t>
        </is>
      </c>
    </row>
    <row r="12" ht="18" customHeight="1" s="101">
      <c r="A12" s="2" t="inlineStr">
        <is>
          <t>Runtime Protection</t>
        </is>
      </c>
      <c r="B12" s="2" t="inlineStr">
        <is>
          <t>Real-time monitoring and blocking of malicious prompts and injection attacks during agent execution</t>
        </is>
      </c>
    </row>
    <row r="13" ht="18" customHeight="1" s="101">
      <c r="A13" s="2" t="inlineStr">
        <is>
          <t>Audit Logging</t>
        </is>
      </c>
      <c r="B13" s="2" t="inlineStr">
        <is>
          <t>Comprehensive record of all agent activities (creation, modification, deletion, usage) for compliance verification</t>
        </is>
      </c>
    </row>
    <row r="14" ht="18" customHeight="1" s="101">
      <c r="A14" s="2" t="inlineStr">
        <is>
          <t>Connector</t>
        </is>
      </c>
      <c r="B14" s="2" t="inlineStr">
        <is>
          <t>Integration component allowing agents to interact with external data sources and services</t>
        </is>
      </c>
    </row>
    <row r="15" ht="18" customHeight="1" s="101">
      <c r="A15" s="2" t="inlineStr">
        <is>
          <t>Sensitivity Label</t>
        </is>
      </c>
      <c r="B15" s="2" t="inlineStr">
        <is>
          <t>Classification applied to content indicating data sensitivity level (Public, Internal, Confidential, Restricted)</t>
        </is>
      </c>
    </row>
    <row r="16" ht="18" customHeight="1" s="101">
      <c r="A16" s="2" t="inlineStr">
        <is>
          <t>Solution Checker</t>
        </is>
      </c>
      <c r="B16" s="2" t="inlineStr">
        <is>
          <t>Automated tool identifying errors and compliance issues in Power Platform solutions</t>
        </is>
      </c>
    </row>
    <row r="17" ht="18" customHeight="1" s="101">
      <c r="A17" s="2" t="inlineStr">
        <is>
          <t>Environment Routing</t>
        </is>
      </c>
      <c r="B17" s="2" t="inlineStr">
        <is>
          <t>Automatic direction of users to appropriate development environments based on security group membership</t>
        </is>
      </c>
    </row>
    <row r="18" ht="18" customHeight="1" s="101">
      <c r="A18" s="2" t="inlineStr">
        <is>
          <t>Maker Welcome Content</t>
        </is>
      </c>
      <c r="B18" s="2" t="inlineStr">
        <is>
          <t>Initial guidance displayed to users entering an environment about governance requirements and resources</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6.85546875" bestFit="1" customWidth="1" style="101" min="1" max="1"/>
    <col width="53" bestFit="1" customWidth="1" style="101" min="2" max="2"/>
    <col width="31.28515625" bestFit="1" customWidth="1" style="101" min="3" max="3"/>
    <col width="94.140625" bestFit="1" customWidth="1" style="101" min="4" max="4"/>
    <col width="47.28515625" bestFit="1" customWidth="1" style="101" min="5" max="5"/>
    <col width="163.140625" bestFit="1" customWidth="1" style="101" min="6" max="6"/>
    <col width="66.7109375" bestFit="1" customWidth="1" style="101" min="7" max="7"/>
    <col width="85.140625" bestFit="1" customWidth="1" style="101" min="8" max="8"/>
  </cols>
  <sheetData>
    <row r="1" ht="18.75" customHeight="1" s="101">
      <c r="A1" s="65" t="inlineStr">
        <is>
          <t>📚 Documentation Review (Microsoft Learn + authoritative sources)</t>
        </is>
      </c>
    </row>
    <row r="2">
      <c r="A2" s="66" t="inlineStr">
        <is>
          <t>Last refreshed: 2025-12-12</t>
        </is>
      </c>
    </row>
    <row r="4">
      <c r="A4" t="inlineStr">
        <is>
          <t>Area</t>
        </is>
      </c>
      <c r="B4" t="inlineStr">
        <is>
          <t>Sheet</t>
        </is>
      </c>
      <c r="C4" t="inlineStr">
        <is>
          <t>Cell/Range</t>
        </is>
      </c>
      <c r="D4" t="inlineStr">
        <is>
          <t>Current text (summary)</t>
        </is>
      </c>
      <c r="E4" t="inlineStr">
        <is>
          <t>Review result</t>
        </is>
      </c>
      <c r="F4" t="inlineStr">
        <is>
          <t>Recommended update</t>
        </is>
      </c>
      <c r="G4" t="inlineStr">
        <is>
          <t>Primary source</t>
        </is>
      </c>
      <c r="H4" t="inlineStr">
        <is>
          <t>Link</t>
        </is>
      </c>
    </row>
    <row r="5">
      <c r="A5" t="inlineStr">
        <is>
          <t>Regulatory reference</t>
        </is>
      </c>
      <c r="B5" t="inlineStr">
        <is>
          <t>Compliance Matrix</t>
        </is>
      </c>
      <c r="C5" t="inlineStr">
        <is>
          <t>A17:C17</t>
        </is>
      </c>
      <c r="D5" t="inlineStr">
        <is>
          <t>FINRA Notice 25-07 described as "Comprehensive AI supervision framework"</t>
        </is>
      </c>
      <c r="E5" t="inlineStr">
        <is>
          <t>❌ Incorrect description</t>
        </is>
      </c>
      <c r="F5" t="inlineStr">
        <is>
          <t>Updated to reflect that Reg Notice 25-07 is a request for comment on modernizing rules for modern member workplaces (mentions GenAI but is not prescriptive AI supervision guidance).</t>
        </is>
      </c>
      <c r="G5" t="inlineStr">
        <is>
          <t>FINRA Regulatory Notice 25-07</t>
        </is>
      </c>
      <c r="H5" s="56" t="inlineStr">
        <is>
          <t>https://www.finra.org/rules-guidance/notices/25-07</t>
        </is>
      </c>
    </row>
    <row r="6">
      <c r="A6" t="inlineStr">
        <is>
          <t>Regulatory reference</t>
        </is>
      </c>
      <c r="B6" t="inlineStr">
        <is>
          <t>Compliance Matrix</t>
        </is>
      </c>
      <c r="C6" t="inlineStr">
        <is>
          <t>A18:C18</t>
        </is>
      </c>
      <c r="D6" t="inlineStr">
        <is>
          <t>"SEC AI Guidance 2025" used as if it were an external compliance framework</t>
        </is>
      </c>
      <c r="E6" t="inlineStr">
        <is>
          <t>⚠️ Not found as a single guidance document</t>
        </is>
      </c>
      <c r="F6" t="inlineStr">
        <is>
          <t>Renamed to SEC AI landing page (internal SEC AI program). If you intended broker-dealer guidance, replace with the exact SEC release/speech/circular and cite it.</t>
        </is>
      </c>
      <c r="G6" t="inlineStr">
        <is>
          <t>SEC – Artificial Intelligence at the SEC</t>
        </is>
      </c>
      <c r="H6" s="56" t="inlineStr">
        <is>
          <t>https://www.sec.gov/ai</t>
        </is>
      </c>
    </row>
    <row r="7">
      <c r="A7" t="inlineStr">
        <is>
          <t>Product capability</t>
        </is>
      </c>
      <c r="B7" t="inlineStr">
        <is>
          <t>Security Controls / Glossary</t>
        </is>
      </c>
      <c r="C7" t="inlineStr">
        <is>
          <t>Security 1.6 / Glossary DSPM for AI</t>
        </is>
      </c>
      <c r="D7" t="inlineStr">
        <is>
          <t>DSPM for AI described as monitoring AI interactions and detecting sensitive data exposure</t>
        </is>
      </c>
      <c r="E7" t="inlineStr">
        <is>
          <t>✅ Confirmed</t>
        </is>
      </c>
      <c r="F7" t="inlineStr">
        <is>
          <t>No change needed. Terminology aligns with Microsoft Purview DSPM for AI documentation.</t>
        </is>
      </c>
      <c r="G7" t="inlineStr">
        <is>
          <t>Microsoft Learn – DSPM for AI</t>
        </is>
      </c>
      <c r="H7" s="56" t="inlineStr">
        <is>
          <t>https://learn.microsoft.com/en-us/purview/dspm-for-ai</t>
        </is>
      </c>
    </row>
    <row r="8">
      <c r="A8" t="inlineStr">
        <is>
          <t>Terminology</t>
        </is>
      </c>
      <c r="B8" t="inlineStr">
        <is>
          <t>Overview</t>
        </is>
      </c>
      <c r="C8" t="inlineStr">
        <is>
          <t>A13</t>
        </is>
      </c>
      <c r="D8" t="inlineStr">
        <is>
          <t>"Microsoft Foundry" listed as a pro-developer tool</t>
        </is>
      </c>
      <c r="E8" t="inlineStr">
        <is>
          <t>✅ Supported in Microsoft Learn context</t>
        </is>
      </c>
      <c r="F8" t="inlineStr">
        <is>
          <t>Consider clarifying as "Microsoft Foundry / Azure AI Foundry" depending on what your org uses; Microsoft Learn references Microsoft Foundry in DSPM for AI scenarios.</t>
        </is>
      </c>
      <c r="G8" t="inlineStr">
        <is>
          <t>Microsoft Learn – DSPM for AI</t>
        </is>
      </c>
      <c r="H8" s="56" t="inlineStr">
        <is>
          <t>https://learn.microsoft.com/en-us/purview/dspm-for-ai</t>
        </is>
      </c>
    </row>
    <row r="9" ht="30.75" customHeight="1" s="101">
      <c r="A9" t="inlineStr">
        <is>
          <t>Audit retention</t>
        </is>
      </c>
      <c r="B9" t="inlineStr">
        <is>
          <t>Security Controls</t>
        </is>
      </c>
      <c r="C9" t="inlineStr">
        <is>
          <t>A20:D20</t>
        </is>
      </c>
      <c r="D9" s="64" t="inlineStr">
        <is>
          <t>Audit retention listed as fixed 180 days / 1 year / 10 years by zone (may imply Premium/add-ons).</t>
        </is>
      </c>
      <c r="E9" t="inlineStr">
        <is>
          <t>⚠️ Needs verification vs your licensing/configuration</t>
        </is>
      </c>
      <c r="F9" s="64" t="inlineStr">
        <is>
          <t>Replace fixed retention targets with tier-aware guidance: Standard (180 days) vs Premium (longer) plus optional add-ons. Add compensating control text for customers without Premium (SIEM/export + retention/immutable archive as required).</t>
        </is>
      </c>
      <c r="G9" t="inlineStr">
        <is>
          <t>Microsoft Learn – Audit log retention policies</t>
        </is>
      </c>
      <c r="H9" s="56" t="inlineStr">
        <is>
          <t>https://learn.microsoft.com/en-us/purview/audit-log-retention-policies</t>
        </is>
      </c>
    </row>
    <row r="10" ht="30.75" customHeight="1" s="101">
      <c r="A10" t="inlineStr">
        <is>
          <t>Managed Environments limits</t>
        </is>
      </c>
      <c r="B10" t="inlineStr">
        <is>
          <t>Management Controls</t>
        </is>
      </c>
      <c r="C10" t="inlineStr">
        <is>
          <t>A18:D19</t>
        </is>
      </c>
      <c r="D10" t="inlineStr">
        <is>
          <t>Sharing limits (50/20/0) and Solution Checker (Warn/Block/Block all) by zone</t>
        </is>
      </c>
      <c r="E10" t="inlineStr">
        <is>
          <t>⚠️ Likely tenant-configurable (not universal defaults)</t>
        </is>
      </c>
      <c r="F10" s="64" t="inlineStr">
        <is>
          <t>Confirm against your Power Platform tenant policies and Managed Environments settings; update values to match what you enforce.
Solution checker enforcement options: https://learn.microsoft.com/en-us/power-platform/admin/managed-environment-solution-checker</t>
        </is>
      </c>
      <c r="G10" t="inlineStr">
        <is>
          <t>Microsoft Learn – Managed Environments (sharing limits / solution checker)</t>
        </is>
      </c>
      <c r="H10" s="56" t="inlineStr">
        <is>
          <t>https://learn.microsoft.com/en-us/power-platform/admin/managed-environment-sharing-limits</t>
        </is>
      </c>
    </row>
    <row r="11">
      <c r="A11" t="inlineStr">
        <is>
          <t>Framework structure</t>
        </is>
      </c>
      <c r="B11" t="inlineStr">
        <is>
          <t>Security Controls / Management Controls / Agent Reporting</t>
        </is>
      </c>
      <c r="C11" t="inlineStr">
        <is>
          <t>Control lists + matrices</t>
        </is>
      </c>
      <c r="D11" t="inlineStr">
        <is>
          <t>Controls used single-word requirements (Required/Recommended) without licensing-aware capability tiers</t>
        </is>
      </c>
      <c r="E11" t="inlineStr">
        <is>
          <t>✅ Updated</t>
        </is>
      </c>
      <c r="F11" s="64" t="inlineStr">
        <is>
          <t>Added Baseline / Recommended / Regulated capability tier columns to each control list; updated Security + Management matrices and Reporting frequency to include tier language.</t>
        </is>
      </c>
      <c r="G11" t="inlineStr">
        <is>
          <t>Governance best practice</t>
        </is>
      </c>
      <c r="H11" s="56" t="inlineStr">
        <is>
          <t>[Internal]</t>
        </is>
      </c>
    </row>
    <row r="14">
      <c r="A14" s="167" t="inlineStr">
        <is>
          <t>DOCUMENT GOVERNANCE TRACKING</t>
        </is>
      </c>
    </row>
    <row r="15">
      <c r="A15" s="169" t="inlineStr">
        <is>
          <t>Field</t>
        </is>
      </c>
      <c r="B15" s="169" t="inlineStr">
        <is>
          <t>Value</t>
        </is>
      </c>
      <c r="C15" s="169" t="inlineStr">
        <is>
          <t>Notes</t>
        </is>
      </c>
    </row>
    <row r="16">
      <c r="A16" s="170" t="inlineStr">
        <is>
          <t>Last Technical Review Date</t>
        </is>
      </c>
      <c r="B16" s="170" t="inlineStr">
        <is>
          <t>[Enter Date]</t>
        </is>
      </c>
      <c r="C16" s="171" t="inlineStr">
        <is>
          <t>Review of Microsoft platform changes, new capabilities</t>
        </is>
      </c>
    </row>
    <row r="17">
      <c r="A17" s="172" t="inlineStr">
        <is>
          <t>Last Regulatory Review Date</t>
        </is>
      </c>
      <c r="B17" s="172" t="inlineStr">
        <is>
          <t>[Enter Date]</t>
        </is>
      </c>
      <c r="C17" s="173" t="inlineStr">
        <is>
          <t>Review of FINRA, SEC, OCC, Fed guidance</t>
        </is>
      </c>
    </row>
    <row r="18">
      <c r="A18" s="170" t="inlineStr">
        <is>
          <t>Next Scheduled Review</t>
        </is>
      </c>
      <c r="B18" s="170" t="inlineStr">
        <is>
          <t>[Enter Date]</t>
        </is>
      </c>
      <c r="C18" s="171" t="inlineStr">
        <is>
          <t>Quarterly minimum; accelerate if trigger events occur</t>
        </is>
      </c>
    </row>
    <row r="19">
      <c r="A19" s="172" t="inlineStr">
        <is>
          <t>Responsible Role</t>
        </is>
      </c>
      <c r="B19" s="172" t="inlineStr">
        <is>
          <t>AI Governance Lead</t>
        </is>
      </c>
      <c r="C19" s="173" t="inlineStr">
        <is>
          <t>Primary owner for framework maintenance</t>
        </is>
      </c>
    </row>
    <row r="20">
      <c r="A20" s="170" t="inlineStr">
        <is>
          <t>Backup Responsible</t>
        </is>
      </c>
      <c r="B20" s="170" t="inlineStr">
        <is>
          <t>Compliance Officer</t>
        </is>
      </c>
      <c r="C20" s="171" t="inlineStr">
        <is>
          <t>Secondary reviewer for regulatory alignment</t>
        </is>
      </c>
    </row>
    <row r="21">
      <c r="A21" s="172" t="inlineStr">
        <is>
          <t>Last Microsoft Learn Verification</t>
        </is>
      </c>
      <c r="B21" s="172" t="inlineStr">
        <is>
          <t>[Enter Date]</t>
        </is>
      </c>
      <c r="C21" s="173" t="inlineStr">
        <is>
          <t>Date admin paths verified</t>
        </is>
      </c>
    </row>
    <row r="22">
      <c r="A22" s="170" t="inlineStr">
        <is>
          <t>Framework Version</t>
        </is>
      </c>
      <c r="B22" s="170" t="inlineStr">
        <is>
          <t>1.1</t>
        </is>
      </c>
      <c r="C22" s="171" t="inlineStr">
        <is>
          <t>Increment on substantive control changes</t>
        </is>
      </c>
    </row>
    <row r="23">
      <c r="A23" s="172" t="inlineStr">
        <is>
          <t>Effective Date</t>
        </is>
      </c>
      <c r="B23" s="172" t="inlineStr">
        <is>
          <t>December 2025</t>
        </is>
      </c>
      <c r="C23" s="173" t="inlineStr">
        <is>
          <t>Date framework approved</t>
        </is>
      </c>
    </row>
  </sheetData>
  <mergeCells count="3">
    <mergeCell ref="A14:C14"/>
    <mergeCell ref="A2:H2"/>
    <mergeCell ref="A1:H1"/>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53.28515625" customWidth="1" style="101" min="1" max="1"/>
    <col width="34.28515625" customWidth="1" style="101" min="2" max="2"/>
    <col width="85.7109375" customWidth="1" style="101" min="3" max="3"/>
    <col width="15.28515625" customWidth="1" style="101" min="4" max="4"/>
    <col width="38.140625" customWidth="1" style="101" min="5" max="5"/>
    <col width="28.5703125" customWidth="1" style="101" min="6" max="6"/>
    <col width="66.7109375" customWidth="1" style="101" min="7" max="7"/>
  </cols>
  <sheetData>
    <row r="1">
      <c r="A1" s="48" t="inlineStr">
        <is>
          <t>Setting</t>
        </is>
      </c>
      <c r="B1" s="48" t="inlineStr">
        <is>
          <t>Portal</t>
        </is>
      </c>
      <c r="C1" s="48" t="inlineStr">
        <is>
          <t>Click-path</t>
        </is>
      </c>
      <c r="D1" s="48" t="inlineStr">
        <is>
          <t>Setup Time</t>
        </is>
      </c>
      <c r="E1" s="48" t="inlineStr">
        <is>
          <t>Zone Applicability</t>
        </is>
      </c>
      <c r="F1" s="48" t="inlineStr">
        <is>
          <t>Owner Role</t>
        </is>
      </c>
      <c r="G1" s="48" t="inlineStr">
        <is>
          <t>Validation / Troubleshooting</t>
        </is>
      </c>
    </row>
    <row r="2" ht="30.75" customHeight="1" s="101">
      <c r="A2" t="inlineStr">
        <is>
          <t>Managed Environments – Limit sharing</t>
        </is>
      </c>
      <c r="B2" t="inlineStr">
        <is>
          <t>Power Platform admin center</t>
        </is>
      </c>
      <c r="C2" s="64" t="inlineStr">
        <is>
          <t>Manage → Environments → select environment → Edit Managed Environments → Manage sharing</t>
        </is>
      </c>
      <c r="D2" t="inlineStr">
        <is>
          <t>10 min</t>
        </is>
      </c>
      <c r="E2" t="inlineStr">
        <is>
          <t>Zone 2: Recommended | Zone 3: Mandatory</t>
        </is>
      </c>
      <c r="F2" t="inlineStr">
        <is>
          <t>Power Platform Admin</t>
        </is>
      </c>
      <c r="G2" s="64" t="inlineStr">
        <is>
          <t>Verify sharing limits in environment settings</t>
        </is>
      </c>
    </row>
    <row r="3" ht="30.75" customHeight="1" s="101">
      <c r="A3" t="inlineStr">
        <is>
          <t>Environment routing</t>
        </is>
      </c>
      <c r="B3" t="inlineStr">
        <is>
          <t>Power Platform admin center</t>
        </is>
      </c>
      <c r="C3" s="64" t="inlineStr">
        <is>
          <t>Tenant settings → Environment routing → Enable (All makers/New makers) → Choose environment group</t>
        </is>
      </c>
      <c r="D3" t="inlineStr">
        <is>
          <t>5 min</t>
        </is>
      </c>
      <c r="E3" t="inlineStr">
        <is>
          <t>Zone 2: Recommended | Zone 3: Mandatory</t>
        </is>
      </c>
      <c r="F3" t="inlineStr">
        <is>
          <t>Power Platform Admin</t>
        </is>
      </c>
      <c r="G3" s="64" t="inlineStr">
        <is>
          <t>Confirm routing active for target security groups</t>
        </is>
      </c>
    </row>
    <row r="4">
      <c r="A4" t="inlineStr">
        <is>
          <t>Environment groups – Locked rules</t>
        </is>
      </c>
      <c r="B4" t="inlineStr">
        <is>
          <t>Power Platform admin center</t>
        </is>
      </c>
      <c r="C4" s="64" t="inlineStr">
        <is>
          <t>Manage → Environment groups → select group → Rules → configure → Publish</t>
        </is>
      </c>
      <c r="D4" t="inlineStr">
        <is>
          <t>15 min</t>
        </is>
      </c>
      <c r="E4" t="inlineStr">
        <is>
          <t>Zone 2: Recommended | Zone 3: Mandatory</t>
        </is>
      </c>
      <c r="F4" t="inlineStr">
        <is>
          <t>Power Platform Admin</t>
        </is>
      </c>
      <c r="G4" s="64" t="inlineStr">
        <is>
          <t>Check rules published status in environment group</t>
        </is>
      </c>
    </row>
    <row r="5" ht="275.25" customHeight="1" s="101">
      <c r="A5" s="64" t="inlineStr">
        <is>
          <t>Advanced Connector Policies (ACP) – Control 1.4</t>
        </is>
      </c>
      <c r="B5" s="64" t="inlineStr">
        <is>
          <t>Power Platform Admin Center
https://admin.powerplatform.microsoft.com/</t>
        </is>
      </c>
      <c r="C5" s="64" t="inlineStr">
        <is>
          <t>Step 1: Go to https://admin.powerplatform.microsoft.com/
Step 2: Click "Manage" (left sidebar)
Step 3: Click "Environment groups"
Step 4: Select or create an environment group for your regulated zone (e.g., "Zone 3 - Enterprise")
Step 5: Click "Rules" (within the environment group)
Step 6: Click "New rule" or "+ Add rule"
Step 7: Name the rule (e.g., "Zone 3 Connector Allowlist")
Step 8: Select rule type: "Advanced connector policies (preview)"
Step 9: Choose action: "Block all by default / Allow specific connectors"
Step 10: In the connector list, select ONLY approved connectors:
        - Approved: SharePoint, Dataverse, OneDrive, Teams, Outlook, SQL Server
        - Blocked: External REST APIs, Slack, Salesforce (unless business-justified)
Step 11: Save the rule
Step 12: Click "Publish" to enable the rule for this environment group
Step 13: Verify rule is "Active" in the Rules list</t>
        </is>
      </c>
      <c r="D5" s="64" t="inlineStr">
        <is>
          <t>30-45 min (includes testing)</t>
        </is>
      </c>
      <c r="E5" s="64" t="inlineStr">
        <is>
          <t>Zone 1: Not required (baseline: DLP policies only)
Zone 2: ✓ Recommended
Zone 3: ✓ Mandatory with action-level allowlisting</t>
        </is>
      </c>
      <c r="F5" s="64" t="inlineStr">
        <is>
          <t>Power Platform Administrator</t>
        </is>
      </c>
      <c r="G5" s="64" t="inlineStr">
        <is>
          <t>VALIDATION STEPS:
1. Create test agent using approved connector (should succeed)
2. Attempt test agent using blocked connector (should fail with policy violation)
3. Verify error message: "This connector is not allowed in this environment per Advanced Connector Policy rules"
4. Check Admin Center → Environments → [Environment] → Governance Insights for policy violations dashboard
TROUBLESHOOTING:
• If "Advanced connector policies (preview)" not available → contact Microsoft Support (may be limited availability)
• If rule doesn't publish → ensure Power Platform Admin or Dynamics 365 admin role
• If agents bypass policy → clear browser cache and restart Maker portal session
• For exceptions: Submit request through governance committee with business justification and 30-day sunset date</t>
        </is>
      </c>
    </row>
    <row r="6" ht="30.75" customHeight="1" s="101">
      <c r="A6" t="inlineStr">
        <is>
          <t>Block unmanaged customizations (prod)</t>
        </is>
      </c>
      <c r="B6" t="inlineStr">
        <is>
          <t>Power Platform admin center</t>
        </is>
      </c>
      <c r="C6" s="64" t="inlineStr">
        <is>
          <t>Environments → select environment → Settings → Features → Block unmanaged customizations (On)</t>
        </is>
      </c>
      <c r="D6" t="inlineStr">
        <is>
          <t>5 min</t>
        </is>
      </c>
      <c r="E6" t="inlineStr">
        <is>
          <t>Zone 3: Mandatory</t>
        </is>
      </c>
      <c r="F6" t="inlineStr">
        <is>
          <t>Power Platform Admin</t>
        </is>
      </c>
      <c r="G6" s="64" t="inlineStr">
        <is>
          <t>Attempt unmanaged customization - should be blocked</t>
        </is>
      </c>
    </row>
    <row r="7">
      <c r="A7" t="inlineStr">
        <is>
          <t>ALM – Pipelines (Dev → Test → Prod)</t>
        </is>
      </c>
      <c r="B7" t="inlineStr">
        <is>
          <t>Power Platform maker portal</t>
        </is>
      </c>
      <c r="C7" s="64" t="inlineStr">
        <is>
          <t>make.powerapps.com → Pipelines → New pipeline → select solution and target environments</t>
        </is>
      </c>
      <c r="D7" t="inlineStr">
        <is>
          <t>30 min</t>
        </is>
      </c>
      <c r="E7" t="inlineStr">
        <is>
          <t>Zone 2: Recommended | Zone 3: Mandatory</t>
        </is>
      </c>
      <c r="F7" t="inlineStr">
        <is>
          <t>Power Platform Admin</t>
        </is>
      </c>
      <c r="G7" s="64" t="inlineStr">
        <is>
          <t>Run test deployment through pipeline stages</t>
        </is>
      </c>
    </row>
    <row r="8">
      <c r="A8" t="inlineStr">
        <is>
          <t>Purview – Audit log retention</t>
        </is>
      </c>
      <c r="B8" t="inlineStr">
        <is>
          <t>Microsoft Purview portal</t>
        </is>
      </c>
      <c r="C8" s="64" t="inlineStr">
        <is>
          <t>Audit → Audit retention policies → Create/Manage policy</t>
        </is>
      </c>
      <c r="D8" t="inlineStr">
        <is>
          <t>15 min</t>
        </is>
      </c>
      <c r="E8" t="inlineStr">
        <is>
          <t>Zone 2: 1 year | Zone 3: 10 years</t>
        </is>
      </c>
      <c r="F8" t="inlineStr">
        <is>
          <t>Compliance Admin</t>
        </is>
      </c>
      <c r="G8" s="64" t="inlineStr">
        <is>
          <t>Verify retention policy applied to audit logs</t>
        </is>
      </c>
    </row>
    <row r="9">
      <c r="A9" t="inlineStr">
        <is>
          <t>Purview – Data Loss Prevention (DLP) policies</t>
        </is>
      </c>
      <c r="B9" t="inlineStr">
        <is>
          <t>Microsoft Purview portal</t>
        </is>
      </c>
      <c r="C9" s="64" t="inlineStr">
        <is>
          <t>Data loss prevention → Policies → Create policy → Choose locations → Configure rules → Publish</t>
        </is>
      </c>
      <c r="D9" t="inlineStr">
        <is>
          <t>30 min</t>
        </is>
      </c>
      <c r="E9" t="inlineStr">
        <is>
          <t>Zone 1: Baseline | Zone 2: Strict | Zone 3: Strictest</t>
        </is>
      </c>
      <c r="F9" t="inlineStr">
        <is>
          <t>Compliance Admin</t>
        </is>
      </c>
      <c r="G9" s="64" t="inlineStr">
        <is>
          <t>Test DLP policy triggers with sample data</t>
        </is>
      </c>
    </row>
    <row r="10" ht="30.75" customHeight="1" s="101">
      <c r="A10" t="inlineStr">
        <is>
          <t>Sensitivity labels (files &amp; mail)</t>
        </is>
      </c>
      <c r="B10" t="inlineStr">
        <is>
          <t>Microsoft Purview portal</t>
        </is>
      </c>
      <c r="C10" s="64" t="inlineStr">
        <is>
          <t>Information Protection → Sensitivity labels → + Create label → Configure → Publish via label policy</t>
        </is>
      </c>
      <c r="D10" t="inlineStr">
        <is>
          <t>20 min</t>
        </is>
      </c>
      <c r="E10" t="inlineStr">
        <is>
          <t>Zone 1: Optional | Zone 2: Recommended | Zone 3: Mandatory</t>
        </is>
      </c>
      <c r="F10" t="inlineStr">
        <is>
          <t>Compliance Admin</t>
        </is>
      </c>
      <c r="G10" s="64" t="inlineStr">
        <is>
          <t>Verify labels appear in Office apps and SharePoint</t>
        </is>
      </c>
    </row>
    <row r="11">
      <c r="A11" t="inlineStr">
        <is>
          <t>Container labels (Teams/SharePoint/Groups)</t>
        </is>
      </c>
      <c r="B11" t="inlineStr">
        <is>
          <t>Microsoft Purview portal</t>
        </is>
      </c>
      <c r="C11" s="64" t="inlineStr">
        <is>
          <t>Information Protection → Sensitivity labels → Configure container settings → Publish</t>
        </is>
      </c>
      <c r="D11" t="inlineStr">
        <is>
          <t>15 min</t>
        </is>
      </c>
      <c r="E11" t="inlineStr">
        <is>
          <t>Zone 2: Recommended | Zone 3: Mandatory</t>
        </is>
      </c>
      <c r="F11" t="inlineStr">
        <is>
          <t>Compliance Admin</t>
        </is>
      </c>
      <c r="G11" s="64" t="inlineStr">
        <is>
          <t>Check container labels applied to Teams/Sites</t>
        </is>
      </c>
    </row>
    <row r="12" ht="30.75" customHeight="1" s="101">
      <c r="A12" t="inlineStr">
        <is>
          <t>DSPM for AI (Copilots &amp; agents)</t>
        </is>
      </c>
      <c r="B12" t="inlineStr">
        <is>
          <t>Microsoft Purview portal</t>
        </is>
      </c>
      <c r="C12" s="64" t="inlineStr">
        <is>
          <t>Home → Data Security Posture Management (DSPM) for AI → Get started → Enable recommended policies</t>
        </is>
      </c>
      <c r="D12" t="inlineStr">
        <is>
          <t>20 min</t>
        </is>
      </c>
      <c r="E12" t="inlineStr">
        <is>
          <t>Zone 2: Recommended | Zone 3: Mandatory</t>
        </is>
      </c>
      <c r="F12" t="inlineStr">
        <is>
          <t>Compliance Admin / AI Admin</t>
        </is>
      </c>
      <c r="G12" s="64" t="inlineStr">
        <is>
          <t>Confirm DSPM policies active in Purview dashboard</t>
        </is>
      </c>
    </row>
    <row r="13" ht="106.5" customHeight="1" s="101">
      <c r="A13" s="67" t="inlineStr">
        <is>
          <t>SharePoint Content Governance (Control 1.3)</t>
        </is>
      </c>
      <c r="B13" s="67" t="inlineStr">
        <is>
          <t>SharePoint admin center (via M365 Admin)</t>
        </is>
      </c>
      <c r="C13" s="68" t="inlineStr">
        <is>
          <t>Step 1: Go to https://admin.microsoft.com/ → Step 2: Click 'Settings' (left sidebar) → Step 3: Click 'Sites and collections' (or SharePoint admin center) → Step 4: Select SharePoint site with agent-accessed content → Step 5: Click 'Permissions' (or 'Access control') → Step 6: Review current permission assignments → Step 7: Click 'Advanced permissions' for agent access → Step 8: Configure least-privilege access (remove unnecessary permissions) → Step 9: Apply sensitivity labels (Info Protection → Labels → Apply to site) → Step 10: Save and exit</t>
        </is>
      </c>
      <c r="D13" s="67" t="inlineStr">
        <is>
          <t>20-30 min</t>
        </is>
      </c>
      <c r="E13" s="67" t="inlineStr">
        <is>
          <t>Zone 1: Optional | Zone 2: ✓ Recommended | Zone 3: ✓ Mandatory</t>
        </is>
      </c>
      <c r="F13" s="67" t="inlineStr">
        <is>
          <t>SharePoint Administrator</t>
        </is>
      </c>
      <c r="G13" s="68" t="inlineStr">
        <is>
          <t>Validation: (1) Confirm agent has only necessary permissions (not Owner/Edit unless required) (2) Verify sensitivity labels applied to sensitive libraries (3) Check external sharing restricted to 'Only people in your organization' | Troubleshooting: If 'Advanced permissions' grayed out → ensure SharePoint Admin role | If labels don't appear → confirm Purview labels published to site | If agent loses access → check role assignments in Settings → Site permissions</t>
        </is>
      </c>
    </row>
    <row r="14">
      <c r="A14" s="128" t="inlineStr">
        <is>
          <t>Data Retention Policies (Control 1.9)</t>
        </is>
      </c>
      <c r="B14" s="128" t="inlineStr">
        <is>
          <t>Microsoft Purview portal
https://purview.microsoft.com</t>
        </is>
      </c>
      <c r="C14" s="128" t="inlineStr">
        <is>
          <t>Solutions → Data lifecycle management → Retention policies → Create → Select "Microsoft Copilot experiences" → Set retention period (7 years for FSI) → Configure disposition review</t>
        </is>
      </c>
      <c r="D14" s="128" t="inlineStr">
        <is>
          <t>30-45 min</t>
        </is>
      </c>
    </row>
    <row r="15">
      <c r="A15" s="128" t="inlineStr">
        <is>
          <t>Communication Compliance (Control 1.10)</t>
        </is>
      </c>
      <c r="B15" s="128" t="inlineStr">
        <is>
          <t>Microsoft Purview portal
https://purview.microsoft.com</t>
        </is>
      </c>
      <c r="C15" s="128" t="inlineStr">
        <is>
          <t>Solutions → Communication Compliance → Policies → Create policy → Select "Regulatory compliance" template → Add Copilot Studio location → Configure classifiers and reviewers</t>
        </is>
      </c>
      <c r="D15" s="128" t="inlineStr">
        <is>
          <t>45-60 min</t>
        </is>
      </c>
    </row>
    <row r="16">
      <c r="A16" s="128" t="inlineStr">
        <is>
          <t>Block Unauthenticated Access (Control 1.11)</t>
        </is>
      </c>
      <c r="B16" s="128" t="inlineStr">
        <is>
          <t>Power Platform Admin Center
https://admin.powerplatform.microsoft.com</t>
        </is>
      </c>
      <c r="C16" s="128" t="inlineStr">
        <is>
          <t>Policies → Data policies → Select/Create DLP → Prebuilt connectors → Search "Chat without Microsoft Entra ID authentication" → Block → Save</t>
        </is>
      </c>
      <c r="D16" s="128" t="inlineStr">
        <is>
          <t>15-20 min</t>
        </is>
      </c>
    </row>
    <row r="17">
      <c r="A17" s="128" t="inlineStr">
        <is>
          <t>Insider Risk Management for AI (Control 1.12)</t>
        </is>
      </c>
      <c r="B17" s="128" t="inlineStr">
        <is>
          <t>Microsoft Purview portal
https://purview.microsoft.com</t>
        </is>
      </c>
      <c r="C17" s="128" t="inlineStr">
        <is>
          <t>Solutions → Insider Risk Management → Policies → Create → Select "Risky AI usage" template → Configure scope and triggers → Enable Adaptive Protection</t>
        </is>
      </c>
      <c r="D17" s="128" t="inlineStr">
        <is>
          <t>45-60 min</t>
        </is>
      </c>
    </row>
    <row r="18">
      <c r="A18" s="128" t="inlineStr">
        <is>
          <t>eDiscovery for AI (Control 1.13)</t>
        </is>
      </c>
      <c r="B18" s="128" t="inlineStr">
        <is>
          <t>Microsoft Purview portal
https://purview.microsoft.com</t>
        </is>
      </c>
      <c r="C18" s="128" t="inlineStr">
        <is>
          <t>Solutions → eDiscovery → Cases → Create case → Add search with ItemClass:IPM.SkypeTeams.Message.Copilot.* → Configure legal hold → Test export</t>
        </is>
      </c>
      <c r="D18" s="128" t="inlineStr">
        <is>
          <t>30-45 min</t>
        </is>
      </c>
    </row>
    <row r="19">
      <c r="A19" s="128" t="inlineStr">
        <is>
          <t>Channel Publishing Controls (Control 1.14)</t>
        </is>
      </c>
      <c r="B19" s="128" t="inlineStr">
        <is>
          <t>Power Platform Admin Center
https://admin.powerplatform.microsoft.com</t>
        </is>
      </c>
      <c r="C19" s="128" t="inlineStr">
        <is>
          <t>Policies → Data policies → Select DLP → Prebuilt connectors → Block: WhatsApp, Facebook, Telegram, Direct Line → Verify Teams/SharePoint allowed → Save</t>
        </is>
      </c>
      <c r="D19" s="128" t="inlineStr">
        <is>
          <t>20-30 min</t>
        </is>
      </c>
    </row>
    <row r="20">
      <c r="A20" s="128" t="inlineStr">
        <is>
          <t>Agent Sharing Controls (Control 1.15)</t>
        </is>
      </c>
      <c r="B20" s="128" t="inlineStr">
        <is>
          <t>Power Platform Admin Center
https://admin.powerplatform.microsoft.com</t>
        </is>
      </c>
      <c r="C20" s="128" t="inlineStr">
        <is>
          <t>Environment groups → Select group → Rules → "Sharing agents with Editor permissions" → Configure per zone → "Sharing agents with Viewer permissions" → Configure → Save</t>
        </is>
      </c>
      <c r="D20" s="128" t="inlineStr">
        <is>
          <t>20-30 min</t>
        </is>
      </c>
    </row>
    <row r="21">
      <c r="A21" s="128" t="inlineStr">
        <is>
          <t>Knowledge Source Controls (Control 2.7)</t>
        </is>
      </c>
      <c r="B21" s="128" t="inlineStr">
        <is>
          <t>Power Platform Admin Center
https://admin.powerplatform.microsoft.com</t>
        </is>
      </c>
      <c r="C21" s="128" t="inlineStr">
        <is>
          <t>Policies → Data policies → Select DLP → Connector actions → SharePoint → Configure URL patterns → Add approved sites only → Save</t>
        </is>
      </c>
      <c r="D21" s="128" t="inlineStr">
        <is>
          <t>30-45 min</t>
        </is>
      </c>
    </row>
    <row r="22">
      <c r="A22" s="128" t="inlineStr">
        <is>
          <t>AI Prompts and Generative AI Settings (Control 2.8)</t>
        </is>
      </c>
      <c r="B22" s="128" t="inlineStr">
        <is>
          <t>Power Platform Admin Center
https://admin.powerplatform.microsoft.com</t>
        </is>
      </c>
      <c r="C22" s="128" t="inlineStr">
        <is>
          <t>Environment groups → Select group → Rules → "AI prompts" → Configure (Restrict/Allow) → "Generative AI settings" → Configure → Save</t>
        </is>
      </c>
      <c r="D22" s="128" t="inlineStr">
        <is>
          <t>20-30 min</t>
        </is>
      </c>
    </row>
    <row r="23">
      <c r="A23" s="128" t="inlineStr">
        <is>
          <t>Transcript Retention Controls (Control 2.9)</t>
        </is>
      </c>
      <c r="B23" s="128" t="inlineStr">
        <is>
          <t>Power Platform Admin Center
https://admin.powerplatform.microsoft.com</t>
        </is>
      </c>
      <c r="C23" s="128" t="inlineStr">
        <is>
          <t>Environment groups → Select group → Rules → "Accessing transcripts" → Set retention period → "Back-up retention" → Align with transcript retention → Save</t>
        </is>
      </c>
      <c r="D23" s="128" t="inlineStr">
        <is>
          <t>15-20 min</t>
        </is>
      </c>
    </row>
    <row r="24">
      <c r="A24" s="128" t="inlineStr">
        <is>
          <t>Solution Checker Enforcement (Control 2.10)</t>
        </is>
      </c>
      <c r="B24" s="128" t="inlineStr">
        <is>
          <t>Power Platform Admin Center
https://admin.powerplatform.microsoft.com</t>
        </is>
      </c>
      <c r="C24" s="128" t="inlineStr">
        <is>
          <t>Environment groups → Select group → Rules → "Solution checker" → Set enforcement level (Warn/Block) → Configure for each zone → Save</t>
        </is>
      </c>
      <c r="D24" s="128" t="inlineStr">
        <is>
          <t>15-20 min</t>
        </is>
      </c>
    </row>
    <row r="25">
      <c r="A25" s="128" t="inlineStr">
        <is>
          <t>Sensitivity Labels for Agents (Control 1.16)</t>
        </is>
      </c>
      <c r="B25" s="128" t="inlineStr">
        <is>
          <t>Microsoft Purview portal
https://purview.microsoft.com</t>
        </is>
      </c>
      <c r="C25" s="128" t="inlineStr">
        <is>
          <t>Information Protection → Labels → Create labels (Public/Internal/Confidential/Highly Confidential) → Configure encryption → Auto-labeling policies → Publish to users</t>
        </is>
      </c>
      <c r="D25" s="128" t="inlineStr">
        <is>
          <t>60-90 min</t>
        </is>
      </c>
    </row>
    <row r="26">
      <c r="A26" s="128" t="inlineStr">
        <is>
          <t>Oversharing Assessments (Control 1.17)</t>
        </is>
      </c>
      <c r="B26" s="128" t="inlineStr">
        <is>
          <t>Microsoft Purview portal
https://purview.microsoft.com</t>
        </is>
      </c>
      <c r="C26" s="128" t="inlineStr">
        <is>
          <t>DSPM for AI → Data assessments → Create assessment → Select SharePoint sites used by agents → Schedule weekly/daily → Configure recommendations</t>
        </is>
      </c>
      <c r="D26" s="128" t="inlineStr">
        <is>
          <t>30-45 min</t>
        </is>
      </c>
    </row>
    <row r="27">
      <c r="A27" s="128" t="inlineStr">
        <is>
          <t>Conditional Access for Agents (Control 1.18)</t>
        </is>
      </c>
      <c r="B27" s="128" t="inlineStr">
        <is>
          <t>Microsoft Entra admin center
https://entra.microsoft.com</t>
        </is>
      </c>
      <c r="C27" s="128" t="inlineStr">
        <is>
          <t>Protection → Conditional Access → Policies → New policy → Target: Power Platform/Copilot Studio → Require MFA + device compliance → Test in report-only → Enable</t>
        </is>
      </c>
      <c r="D27" s="128" t="inlineStr">
        <is>
          <t>45-60 min</t>
        </is>
      </c>
    </row>
    <row r="28">
      <c r="A28" s="128" t="inlineStr">
        <is>
          <t>Cost Management and Billing (Control 3.5)</t>
        </is>
      </c>
      <c r="B28" s="128" t="inlineStr">
        <is>
          <t>Power Platform Admin Center
https://admin.powerplatform.microsoft.com</t>
        </is>
      </c>
      <c r="C28" s="128" t="inlineStr">
        <is>
          <t>Billing → Pay-as-you-go → Link Azure subscription → Copilot Studio → Manage capacity → Set alerts (75/90/100%) → Configure reports</t>
        </is>
      </c>
      <c r="D28" s="128" t="inlineStr">
        <is>
          <t>30-45 min</t>
        </is>
      </c>
    </row>
    <row r="29">
      <c r="A29" s="128" t="inlineStr">
        <is>
          <t>Ownerless Agent Management (Control 3.6)</t>
        </is>
      </c>
      <c r="B29" s="128" t="inlineStr">
        <is>
          <t>Power Platform Admin Center
https://admin.powerplatform.microsoft.com</t>
        </is>
      </c>
      <c r="C29" s="128" t="inlineStr">
        <is>
          <t>Copilot Studio → Agent inventory → Filter by owner status → Export ownerless agents → Create Power Automate flow for detection → Configure reassignment workflow</t>
        </is>
      </c>
      <c r="D29" s="128" t="inlineStr">
        <is>
          <t>45-60 min</t>
        </is>
      </c>
    </row>
    <row r="30">
      <c r="A30" s="128" t="inlineStr">
        <is>
          <t>Restricted Content Discovery (Control 4.1)</t>
        </is>
      </c>
      <c r="B30" s="128" t="inlineStr">
        <is>
          <t>SharePoint Admin Center
https://admin.microsoft.com/sharepoint</t>
        </is>
      </c>
      <c r="C30" s="128" t="inlineStr">
        <is>
          <t>Sites → Active sites → Select site → Settings → More settings → Restricted Content Discovery → Enable "Exclude from organization-wide search and Copilot"</t>
        </is>
      </c>
      <c r="D30" s="128" t="inlineStr">
        <is>
          <t>10-15 min per site</t>
        </is>
      </c>
    </row>
    <row r="31">
      <c r="A31" s="128" t="inlineStr">
        <is>
          <t>Site Access Reviews (Control 4.2)</t>
        </is>
      </c>
      <c r="B31" s="128" t="inlineStr">
        <is>
          <t>Microsoft Entra admin center
https://entra.microsoft.com</t>
        </is>
      </c>
      <c r="C31" s="128" t="inlineStr">
        <is>
          <t>Identity Governance → Access reviews → New review → Select groups for agent source sites → Configure reviewers and schedule → Enable auto-apply for Zone 3</t>
        </is>
      </c>
      <c r="D31" s="128" t="inlineStr">
        <is>
          <t>30-45 min</t>
        </is>
      </c>
    </row>
    <row r="32">
      <c r="A32" s="128" t="inlineStr">
        <is>
          <t>Block Download Policy (Control 4.3)</t>
        </is>
      </c>
      <c r="B32" s="128" t="inlineStr">
        <is>
          <t>SharePoint Admin Center
https://admin.microsoft.com/sharepoint</t>
        </is>
      </c>
      <c r="C32" s="128" t="inlineStr">
        <is>
          <t>Sites → Active sites → Select site → Settings → Block download → Enable for unmanaged devices (or all devices for Zone 3)</t>
        </is>
      </c>
      <c r="D32" s="128" t="inlineStr">
        <is>
          <t>10-15 min per site</t>
        </is>
      </c>
    </row>
    <row r="33">
      <c r="A33" s="128" t="inlineStr">
        <is>
          <t>Agent Insight Reports (Control 4.4)</t>
        </is>
      </c>
      <c r="B33" s="128" t="inlineStr">
        <is>
          <t>SharePoint Admin Center
https://admin.microsoft.com/sharepoint</t>
        </is>
      </c>
      <c r="C33" s="128" t="inlineStr">
        <is>
          <t>Reports → Agent insights → "Sites used by agents" → Review access patterns → Schedule weekly export → Configure recipients</t>
        </is>
      </c>
      <c r="D33" s="128" t="inlineStr">
        <is>
          <t>20-30 min</t>
        </is>
      </c>
    </row>
    <row r="34">
      <c r="A34" s="128" t="inlineStr">
        <is>
          <t>Site Sharing Restrictions (Control 4.5)</t>
        </is>
      </c>
      <c r="B34" s="128" t="inlineStr">
        <is>
          <t>SharePoint Admin Center
https://admin.microsoft.com/sharepoint</t>
        </is>
      </c>
      <c r="C34" s="128" t="inlineStr">
        <is>
          <t>Sites → Active sites → Select site → Sharing → Set to "Only people in your organization" → Enable "Limit sharing by domain" if needed</t>
        </is>
      </c>
      <c r="D34" s="128" t="inlineStr">
        <is>
          <t>10-15 min per site</t>
        </is>
      </c>
    </row>
    <row r="35">
      <c r="A35" s="128" t="inlineStr">
        <is>
          <t>Skills and Plugins Controls (Control 2.11)</t>
        </is>
      </c>
      <c r="B35" s="128" t="inlineStr">
        <is>
          <t>Power Platform Admin Center
https://admin.powerplatform.microsoft.com</t>
        </is>
      </c>
      <c r="C35" s="128" t="inlineStr">
        <is>
          <t>Environment groups → Select group → Rules → "Skills" → Configure allowlist or block → "Plugins" → Configure → Save</t>
        </is>
      </c>
      <c r="D35" s="128" t="inlineStr">
        <is>
          <t>20-30 min</t>
        </is>
      </c>
    </row>
    <row r="36">
      <c r="A36" s="128" t="inlineStr">
        <is>
          <t>Autonomous Agent Controls (Control 2.12)</t>
        </is>
      </c>
      <c r="B36" s="128" t="inlineStr">
        <is>
          <t>Power Platform Admin Center
https://admin.powerplatform.microsoft.com</t>
        </is>
      </c>
      <c r="C36" s="128" t="inlineStr">
        <is>
          <t>Environment groups → Select group → Rules → "Autonomous agents" → Set to Disabled/Approval required → Configure approval workflow → Save</t>
        </is>
      </c>
      <c r="D36" s="128" t="inlineStr">
        <is>
          <t>30-45 min</t>
        </is>
      </c>
    </row>
    <row r="37">
      <c r="A37" s="128" t="inlineStr">
        <is>
          <t>Agent Authentication Rules (Control 2.13)</t>
        </is>
      </c>
      <c r="B37" s="128" t="inlineStr">
        <is>
          <t>Power Platform Admin Center
https://admin.powerplatform.microsoft.com</t>
        </is>
      </c>
      <c r="C37" s="128" t="inlineStr">
        <is>
          <t>Environment groups → Select group → Rules → "Authentication" → Require Microsoft Entra ID → Lock setting → Save</t>
        </is>
      </c>
      <c r="D37" s="128" t="inlineStr">
        <is>
          <t>15-20 min</t>
        </is>
      </c>
    </row>
    <row r="38">
      <c r="A38" s="128" t="inlineStr">
        <is>
          <t>Agent Channels Rules (Control 2.14)</t>
        </is>
      </c>
      <c r="B38" s="128" t="inlineStr">
        <is>
          <t>Power Platform Admin Center
https://admin.powerplatform.microsoft.com</t>
        </is>
      </c>
      <c r="C38" s="128" t="inlineStr">
        <is>
          <t>Environment groups → Select group → Rules → "Channels" → Configure allowed channels per zone → Lock settings → Save</t>
        </is>
      </c>
      <c r="D38" s="128" t="inlineStr">
        <is>
          <t>15-20 min</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cols>
    <col width="12" customWidth="1" style="101" min="1" max="1"/>
    <col width="40" customWidth="1" style="101" min="2" max="2"/>
    <col width="35" customWidth="1" style="101" min="3" max="3"/>
    <col width="50" customWidth="1" style="101" min="4" max="4"/>
    <col width="15" customWidth="1" style="101" min="5" max="5"/>
    <col width="60" customWidth="1" style="101" min="6" max="6"/>
    <col width="15" customWidth="1" style="101" min="7" max="7"/>
    <col width="15" customWidth="1" style="101" min="8" max="8"/>
    <col width="20" customWidth="1" style="101" min="9" max="9"/>
    <col width="15" customWidth="1" style="101" min="10" max="10"/>
    <col width="15" customWidth="1" style="101" min="11" max="11"/>
    <col width="15" customWidth="1" style="101" min="12" max="12"/>
    <col width="50" customWidth="1" style="101" min="13" max="13"/>
    <col width="50" customWidth="1" style="101" min="14" max="14"/>
    <col width="50" customWidth="1" style="101" min="15" max="15"/>
    <col width="80" customWidth="1" style="101" min="16" max="16"/>
  </cols>
  <sheetData>
    <row r="1">
      <c r="A1" s="136" t="inlineStr">
        <is>
          <t>PILLAR 4: SHAREPOINT ADVANCED MANAGEMENT</t>
        </is>
      </c>
    </row>
    <row r="2">
      <c r="A2" s="137" t="inlineStr">
        <is>
          <t>Control ID</t>
        </is>
      </c>
      <c r="B2" s="137" t="inlineStr">
        <is>
          <t>Control Name</t>
        </is>
      </c>
      <c r="C2" s="137" t="inlineStr">
        <is>
          <t>Primary Regulatory Reference</t>
        </is>
      </c>
      <c r="D2" s="137" t="inlineStr">
        <is>
          <t>Notes</t>
        </is>
      </c>
      <c r="E2" s="137" t="inlineStr">
        <is>
          <t>Setup Time</t>
        </is>
      </c>
      <c r="F2" s="137" t="inlineStr">
        <is>
          <t>Time Breakdown</t>
        </is>
      </c>
      <c r="G2" s="137" t="inlineStr">
        <is>
          <t>Recurring Review</t>
        </is>
      </c>
      <c r="H2" s="137" t="inlineStr">
        <is>
          <t>Current State</t>
        </is>
      </c>
      <c r="I2" s="137" t="inlineStr">
        <is>
          <t>Evidence Location</t>
        </is>
      </c>
      <c r="J2" s="137" t="inlineStr">
        <is>
          <t>Target Date</t>
        </is>
      </c>
      <c r="K2" s="137" t="inlineStr">
        <is>
          <t>Owner</t>
        </is>
      </c>
      <c r="L2" s="137" t="inlineStr">
        <is>
          <t>Gap Priority</t>
        </is>
      </c>
      <c r="M2" s="137" t="inlineStr">
        <is>
          <t>Baseline capability</t>
        </is>
      </c>
      <c r="N2" s="137" t="inlineStr">
        <is>
          <t>Recommended capability</t>
        </is>
      </c>
      <c r="O2" s="137" t="inlineStr">
        <is>
          <t>Regulated/High-risk capability</t>
        </is>
      </c>
      <c r="P2" s="137" t="inlineStr">
        <is>
          <t>Verification Steps</t>
        </is>
      </c>
    </row>
    <row r="3">
      <c r="A3" s="128" t="inlineStr">
        <is>
          <t>4.1</t>
        </is>
      </c>
      <c r="B3" s="128" t="inlineStr">
        <is>
          <t>Restricted Content Discovery for Agents</t>
        </is>
      </c>
      <c r="C3" s="128" t="inlineStr">
        <is>
          <t>FINRA 4511, SEC Reg S-P, GLBA 501(b)</t>
        </is>
      </c>
      <c r="D3" s="128" t="inlineStr">
        <is>
          <t>SharePoint Advanced Management policy that hides site content from Copilot indexing and global search. Critical for sensitive sites that should not be agent knowledge sources.</t>
        </is>
      </c>
      <c r="E3" s="128" t="inlineStr">
        <is>
          <t>30-45 min</t>
        </is>
      </c>
      <c r="F3" s="128" t="inlineStr">
        <is>
          <t>Identify sensitive sites (15 min) + Apply RCD policy (15 min) + Test exclusion (15 min)</t>
        </is>
      </c>
      <c r="G3" s="128" t="inlineStr">
        <is>
          <t>15 min/month</t>
        </is>
      </c>
      <c r="L3" s="128" t="inlineStr">
        <is>
          <t>NOT ASSESSED</t>
        </is>
      </c>
      <c r="M3" s="128" t="inlineStr">
        <is>
          <t>Baseline: Apply RCD to sites containing highly sensitive data (HR records, M&amp;A, legal matters) that should never be agent knowledge sources.</t>
        </is>
      </c>
      <c r="N3" s="128" t="inlineStr">
        <is>
          <t>Recommended: RCD policy for all Confidential/Highly Confidential labeled sites; automated policy application based on sensitivity labels.</t>
        </is>
      </c>
      <c r="O3" s="128" t="inlineStr">
        <is>
          <t>Regulated/High-risk: Mandatory RCD for regulated data sites; quarterly review of RCD coverage; audit trail for policy changes.</t>
        </is>
      </c>
      <c r="P3" s="128" t="inlineStr">
        <is>
          <t>VERIFICATION STEPS:
1. Go to SharePoint Admin Center → Policies → Access control
2. Select target site → Advanced settings → Restricted Content Discovery
3. Enable "Exclude from organization-wide search and Copilot"
4. Test: Create agent with this site as knowledge source - should fail or show no content
5. Verify site content does not appear in Copilot searches
EXPECTED RESULT: Sensitive sites excluded from agent knowledge; content not discoverable</t>
        </is>
      </c>
    </row>
    <row r="4">
      <c r="A4" s="128" t="inlineStr">
        <is>
          <t>4.2</t>
        </is>
      </c>
      <c r="B4" s="128" t="inlineStr">
        <is>
          <t>Site Access Reviews for Agent Sources</t>
        </is>
      </c>
      <c r="C4" s="128" t="inlineStr">
        <is>
          <t>FINRA 4511, GLBA 501(b), SOX 302/404</t>
        </is>
      </c>
      <c r="D4" s="128" t="inlineStr">
        <is>
          <t>SharePoint Advanced Management periodic access reviews ensure agent knowledge sources maintain appropriate permissions. Reviews detect permission drift and oversharing.</t>
        </is>
      </c>
      <c r="E4" s="128" t="inlineStr">
        <is>
          <t>1-2 hours</t>
        </is>
      </c>
      <c r="F4" s="128" t="inlineStr">
        <is>
          <t>Configure access review (30 min) + Define review schedule (15 min) + Assign reviewers (30 min) + Document process (30 min)</t>
        </is>
      </c>
      <c r="G4" s="128" t="inlineStr">
        <is>
          <t>2-4 hours/quarter</t>
        </is>
      </c>
      <c r="L4" s="128" t="inlineStr">
        <is>
          <t>NOT ASSESSED</t>
        </is>
      </c>
      <c r="M4" s="128" t="inlineStr">
        <is>
          <t>Baseline: Quarterly access reviews for all sites used as agent knowledge sources; document reviewer decisions.</t>
        </is>
      </c>
      <c r="N4" s="128" t="inlineStr">
        <is>
          <t>Recommended: Monthly reviews for Zone 2/3 agent sources; automated reviewer assignment; integrate with identity governance.</t>
        </is>
      </c>
      <c r="O4" s="128" t="inlineStr">
        <is>
          <t>Regulated/High-risk: Weekly reviews for Zone 3 sources; automatic access revocation for non-certified permissions; compliance attestation required.</t>
        </is>
      </c>
      <c r="P4" s="128" t="inlineStr">
        <is>
          <t>VERIFICATION STEPS:
1. Go to SharePoint Admin Center → Sites → Active sites
2. Select agent knowledge source site → Permissions → Access reviews
3. Verify review schedule is configured (quarterly minimum)
4. Check pending reviews are assigned to appropriate reviewers
5. Review historical certifications for compliance
EXPECTED RESULT: Reviews scheduled; reviewers assigned; certifications documented</t>
        </is>
      </c>
    </row>
    <row r="5">
      <c r="A5" s="128" t="inlineStr">
        <is>
          <t>4.3</t>
        </is>
      </c>
      <c r="B5" s="128" t="inlineStr">
        <is>
          <t>Block Download Policy for Agent Sources</t>
        </is>
      </c>
      <c r="C5" s="128" t="inlineStr">
        <is>
          <t>SEC Reg S-P, GLBA 501(b), FINRA 4511</t>
        </is>
      </c>
      <c r="D5" s="128" t="inlineStr">
        <is>
          <t>Prevents users from downloading files from SharePoint sites used by agents, reducing data exfiltration risk while allowing agent access to content.</t>
        </is>
      </c>
      <c r="E5" s="128" t="inlineStr">
        <is>
          <t>20-30 min</t>
        </is>
      </c>
      <c r="F5" s="128" t="inlineStr">
        <is>
          <t>Identify high-risk sites (10 min) + Apply block download policy (10 min) + Test enforcement (10 min)</t>
        </is>
      </c>
      <c r="G5" s="128" t="inlineStr">
        <is>
          <t>10 min/month</t>
        </is>
      </c>
      <c r="L5" s="128" t="inlineStr">
        <is>
          <t>NOT ASSESSED</t>
        </is>
      </c>
      <c r="M5" s="128" t="inlineStr">
        <is>
          <t>Baseline: Block downloads for sites containing customer PII or financial data used as agent sources.</t>
        </is>
      </c>
      <c r="N5" s="128" t="inlineStr">
        <is>
          <t>Recommended: Block downloads for all Confidential sites; allow view-only access; integrate with DLP policies.</t>
        </is>
      </c>
      <c r="O5" s="128" t="inlineStr">
        <is>
          <t>Regulated/High-risk: Block downloads for all Zone 3 agent sources; audit all download attempts; exception approval workflow.</t>
        </is>
      </c>
      <c r="P5" s="128" t="inlineStr">
        <is>
          <t>VERIFICATION STEPS:
1. Go to SharePoint Admin Center → Policies → Access control
2. Select target site → Block download
3. Enable policy for unmanaged devices and/or all devices
4. Test: Attempt to download file from protected site - should be blocked
5. Verify agent can still read content for grounding
EXPECTED RESULT: Downloads blocked; agent access maintained; violations logged</t>
        </is>
      </c>
    </row>
    <row r="6">
      <c r="A6" s="128" t="inlineStr">
        <is>
          <t>4.4</t>
        </is>
      </c>
      <c r="B6" s="128" t="inlineStr">
        <is>
          <t>Agent Insight Reports (SharePoint)</t>
        </is>
      </c>
      <c r="C6" s="128" t="inlineStr">
        <is>
          <t>FINRA 4511, SEC 17a-4, SOX 302</t>
        </is>
      </c>
      <c r="D6" s="128" t="inlineStr">
        <is>
          <t>SharePoint Advanced Management reports showing which sites are used by agents, access patterns, and content exposure. Essential for governance visibility.</t>
        </is>
      </c>
      <c r="E6" s="128" t="inlineStr">
        <is>
          <t>30-45 min</t>
        </is>
      </c>
      <c r="F6" s="128" t="inlineStr">
        <is>
          <t>Configure report access (15 min) + Review initial report (20 min) + Set up scheduled reports (10 min)</t>
        </is>
      </c>
      <c r="G6" s="128" t="inlineStr">
        <is>
          <t>1 hour/week</t>
        </is>
      </c>
      <c r="L6" s="128" t="inlineStr">
        <is>
          <t>NOT ASSESSED</t>
        </is>
      </c>
      <c r="M6" s="128" t="inlineStr">
        <is>
          <t>Baseline: Review agent insight reports weekly to understand which sites are used as agent knowledge sources.</t>
        </is>
      </c>
      <c r="N6" s="128" t="inlineStr">
        <is>
          <t>Recommended: Automated weekly reports to governance team; alert on new sites added as agent sources; trend analysis.</t>
        </is>
      </c>
      <c r="O6" s="128" t="inlineStr">
        <is>
          <t>Regulated/High-risk: Daily reports for Zone 3; immediate alerts for sensitive site additions; integration with SIEM; executive dashboard.</t>
        </is>
      </c>
      <c r="P6" s="128" t="inlineStr">
        <is>
          <t>VERIFICATION STEPS:
1. Go to SharePoint Admin Center → Reports → Agent insights
2. Review "Sites used by agents" report
3. Check "Content accessed" metrics for each site
4. Verify report schedule is configured (weekly minimum)
5. Confirm report recipients include governance team
EXPECTED RESULT: Agent usage visible; sites identified; access patterns tracked</t>
        </is>
      </c>
    </row>
    <row r="7">
      <c r="A7" s="128" t="inlineStr">
        <is>
          <t>4.5</t>
        </is>
      </c>
      <c r="B7" s="128" t="inlineStr">
        <is>
          <t>Site Sharing Restrictions for Agent Sources</t>
        </is>
      </c>
      <c r="C7" s="128" t="inlineStr">
        <is>
          <t>FINRA 4511, GLBA 501(b), SEC Reg S-P</t>
        </is>
      </c>
      <c r="D7" s="128" t="inlineStr">
        <is>
          <t>SharePoint Advanced Management policies restricting who can share content from sites used as agent knowledge sources. Prevents unauthorized external sharing.</t>
        </is>
      </c>
      <c r="E7" s="128" t="inlineStr">
        <is>
          <t>30-45 min</t>
        </is>
      </c>
      <c r="F7" s="128" t="inlineStr">
        <is>
          <t>Define sharing policy (15 min) + Apply restrictions (15 min) + Test enforcement (15 min)</t>
        </is>
      </c>
      <c r="G7" s="128" t="inlineStr">
        <is>
          <t>15 min/month</t>
        </is>
      </c>
      <c r="L7" s="128" t="inlineStr">
        <is>
          <t>NOT ASSESSED</t>
        </is>
      </c>
      <c r="M7" s="128" t="inlineStr">
        <is>
          <t>Baseline: Disable external sharing for all sites used as agent knowledge sources; limit internal sharing to site members.</t>
        </is>
      </c>
      <c r="N7" s="128" t="inlineStr">
        <is>
          <t>Recommended: Sharing only within security groups; require approval for any sharing expansion; integrate with DLP.</t>
        </is>
      </c>
      <c r="O7" s="128" t="inlineStr">
        <is>
          <t>Regulated/High-risk: Admin-only sharing changes; audit all sharing events; automatic sharing link expiration; no guest access.</t>
        </is>
      </c>
      <c r="P7" s="128" t="inlineStr">
        <is>
          <t>VERIFICATION STEPS:
1. Go to SharePoint Admin Center → Sites → Active sites
2. Select agent knowledge source site → Sharing
3. Verify external sharing is disabled ("Only people in your organization")
4. Check "Limit sharing by domain" if applicable
5. Test: Attempt to share externally - should be blocked
EXPECTED RESULT: External sharing blocked; internal sharing restricted; violations logged</t>
        </is>
      </c>
    </row>
    <row r="10">
      <c r="A10" s="138" t="inlineStr">
        <is>
          <t>SHAREPOINT ADVANCED MANAGEMENT MATRIX BY ZONE</t>
        </is>
      </c>
    </row>
    <row r="11">
      <c r="A11" s="139" t="inlineStr">
        <is>
          <t>Control</t>
        </is>
      </c>
      <c r="B11" s="139" t="inlineStr">
        <is>
          <t>Zone 1</t>
        </is>
      </c>
      <c r="C11" s="139" t="inlineStr">
        <is>
          <t>Zone 2</t>
        </is>
      </c>
      <c r="D11" s="139" t="inlineStr">
        <is>
          <t>Zone 3</t>
        </is>
      </c>
    </row>
    <row r="12">
      <c r="A12" s="128" t="inlineStr">
        <is>
          <t>Restricted Content Discovery</t>
        </is>
      </c>
      <c r="B12" s="128" t="inlineStr">
        <is>
          <t>Optional for personal sites</t>
        </is>
      </c>
      <c r="C12" s="128" t="inlineStr">
        <is>
          <t>Required for Confidential sites</t>
        </is>
      </c>
      <c r="D12" s="128" t="inlineStr">
        <is>
          <t>Required for all sensitive sites</t>
        </is>
      </c>
    </row>
    <row r="13">
      <c r="A13" s="128" t="inlineStr">
        <is>
          <t>Site Access Reviews</t>
        </is>
      </c>
      <c r="B13" s="128" t="inlineStr">
        <is>
          <t>Annual (if shared)</t>
        </is>
      </c>
      <c r="C13" s="128" t="inlineStr">
        <is>
          <t>Quarterly</t>
        </is>
      </c>
      <c r="D13" s="128" t="inlineStr">
        <is>
          <t>Monthly with attestation</t>
        </is>
      </c>
    </row>
    <row r="14">
      <c r="A14" s="128" t="inlineStr">
        <is>
          <t>Block Download</t>
        </is>
      </c>
      <c r="B14" s="128" t="inlineStr">
        <is>
          <t>Not required</t>
        </is>
      </c>
      <c r="C14" s="128" t="inlineStr">
        <is>
          <t>Recommended for PII sites</t>
        </is>
      </c>
      <c r="D14" s="128" t="inlineStr">
        <is>
          <t>Required for all agent sources</t>
        </is>
      </c>
    </row>
    <row r="15">
      <c r="A15" s="128" t="inlineStr">
        <is>
          <t>Agent Insight Reports</t>
        </is>
      </c>
      <c r="B15" s="128" t="inlineStr">
        <is>
          <t>Monthly review</t>
        </is>
      </c>
      <c r="C15" s="128" t="inlineStr">
        <is>
          <t>Weekly review</t>
        </is>
      </c>
      <c r="D15" s="128" t="inlineStr">
        <is>
          <t>Daily monitoring + alerts</t>
        </is>
      </c>
    </row>
    <row r="16">
      <c r="A16" s="128" t="inlineStr">
        <is>
          <t>Site Sharing Restrictions</t>
        </is>
      </c>
      <c r="B16" s="128" t="inlineStr">
        <is>
          <t>Internal only</t>
        </is>
      </c>
      <c r="C16" s="128" t="inlineStr">
        <is>
          <t>Security group only</t>
        </is>
      </c>
      <c r="D16" s="128" t="inlineStr">
        <is>
          <t>Admin-controlled only</t>
        </is>
      </c>
    </row>
  </sheetData>
  <mergeCells count="2">
    <mergeCell ref="A10:H10"/>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0" customWidth="1" style="101" min="1" max="1"/>
    <col width="28" customWidth="1" style="101" min="2" max="2"/>
    <col width="60" customWidth="1" style="101" min="3" max="3"/>
    <col width="18" customWidth="1" style="101" min="4" max="4"/>
    <col width="18" customWidth="1" style="101" min="5" max="5"/>
    <col width="16" customWidth="1" style="101" min="6" max="6"/>
  </cols>
  <sheetData>
    <row r="1">
      <c r="A1" s="174" t="inlineStr">
        <is>
          <t>AGENT 365 (FRONTIER PREVIEW) - READINESS CHECKLIST</t>
        </is>
      </c>
    </row>
    <row r="2">
      <c r="A2" s="175" t="inlineStr">
        <is>
          <t>⚠️ FRONTIER PREVIEW DISCLAIMER: These capabilities are subject to change. Do not use preview features for compliance. The 43 core controls remain mandatory.</t>
        </is>
      </c>
    </row>
    <row r="3">
      <c r="A3" s="176" t="inlineStr">
        <is>
          <t>Last Verified: December 2025 | GA Status: Not Announced</t>
        </is>
      </c>
    </row>
    <row r="5">
      <c r="A5" s="177" t="inlineStr">
        <is>
          <t>ID</t>
        </is>
      </c>
      <c r="B5" s="177" t="inlineStr">
        <is>
          <t>Control Name</t>
        </is>
      </c>
      <c r="C5" s="177" t="inlineStr">
        <is>
          <t>Description</t>
        </is>
      </c>
      <c r="D5" s="177" t="inlineStr">
        <is>
          <t>Zone Applicability</t>
        </is>
      </c>
      <c r="E5" s="177" t="inlineStr">
        <is>
          <t>Readiness Check</t>
        </is>
      </c>
      <c r="F5" s="177" t="inlineStr">
        <is>
          <t>Status</t>
        </is>
      </c>
    </row>
    <row r="6">
      <c r="A6" s="172" t="inlineStr">
        <is>
          <t>A365-1</t>
        </is>
      </c>
      <c r="B6" s="172" t="inlineStr">
        <is>
          <t>Agent Registry Onboarding</t>
        </is>
      </c>
      <c r="C6" s="173" t="inlineStr">
        <is>
          <t>Verify all agents across creation surfaces (Copilot Studio, Agent Builder, SharePoint, pro-code) are registered in the centralized Agent 365 registry with complete metadata (owner, purpose, zone, data sources).</t>
        </is>
      </c>
      <c r="D6" s="172" t="inlineStr">
        <is>
          <t>All Zones</t>
        </is>
      </c>
      <c r="E6" s="172" t="inlineStr">
        <is>
          <t>[ ] Yes  [ ] No</t>
        </is>
      </c>
      <c r="F6" s="178" t="inlineStr">
        <is>
          <t>Frontier Preview</t>
        </is>
      </c>
    </row>
    <row r="7">
      <c r="A7" s="170" t="inlineStr">
        <is>
          <t>A365-2</t>
        </is>
      </c>
      <c r="B7" s="170" t="inlineStr">
        <is>
          <t>Entra Agent ID Implementation</t>
        </is>
      </c>
      <c r="C7" s="171" t="inlineStr">
        <is>
          <t>Verify agents are configured with dedicated Entra Agent ID service principals rather than user-context execution. Validate permission scoping follows least-privilege principles.</t>
        </is>
      </c>
      <c r="D7" s="170" t="inlineStr">
        <is>
          <t>Zone 2, Zone 3</t>
        </is>
      </c>
      <c r="E7" s="170" t="inlineStr">
        <is>
          <t>[ ] Yes  [ ] No</t>
        </is>
      </c>
      <c r="F7" s="178" t="inlineStr">
        <is>
          <t>Frontier Preview</t>
        </is>
      </c>
    </row>
    <row r="8">
      <c r="A8" s="172" t="inlineStr">
        <is>
          <t>A365-3</t>
        </is>
      </c>
      <c r="B8" s="172" t="inlineStr">
        <is>
          <t>Quarantine Policy Definition</t>
        </is>
      </c>
      <c r="C8" s="173" t="inlineStr">
        <is>
          <t>Define criteria for automated agent quarantine including: policy violations, anomalous behavior thresholds, data access anomalies, and health check failures. Document manual override procedures.</t>
        </is>
      </c>
      <c r="D8" s="172" t="inlineStr">
        <is>
          <t>Zone 3</t>
        </is>
      </c>
      <c r="E8" s="172" t="inlineStr">
        <is>
          <t>[ ] Yes  [ ] No</t>
        </is>
      </c>
      <c r="F8" s="178" t="inlineStr">
        <is>
          <t>Frontier Preview</t>
        </is>
      </c>
    </row>
    <row r="9">
      <c r="A9" s="170" t="inlineStr">
        <is>
          <t>A365-4</t>
        </is>
      </c>
      <c r="B9" s="170" t="inlineStr">
        <is>
          <t>Fleet Observability Setup</t>
        </is>
      </c>
      <c r="C9" s="171" t="inlineStr">
        <is>
          <t>Connect Agent 365 telemetry to Azure Monitor and/or Microsoft Sentinel. Configure dashboards for fleet-wide health monitoring, session success rates, and error trending.</t>
        </is>
      </c>
      <c r="D9" s="170" t="inlineStr">
        <is>
          <t>Zone 2, Zone 3</t>
        </is>
      </c>
      <c r="E9" s="170" t="inlineStr">
        <is>
          <t>[ ] Yes  [ ] No</t>
        </is>
      </c>
      <c r="F9" s="178" t="inlineStr">
        <is>
          <t>Frontier Preview</t>
        </is>
      </c>
    </row>
    <row r="10">
      <c r="A10" s="172" t="inlineStr">
        <is>
          <t>A365-5</t>
        </is>
      </c>
      <c r="B10" s="172" t="inlineStr">
        <is>
          <t>Upstream Lineage Mapping</t>
        </is>
      </c>
      <c r="C10" s="173" t="inlineStr">
        <is>
          <t>Document agent dependencies including: knowledge sources (SharePoint sites, Dataverse tables), connectors, skills/plugins, and downstream integrations. Maintain dependency inventory for impact analysis.</t>
        </is>
      </c>
      <c r="D10" s="172" t="inlineStr">
        <is>
          <t>All Zones</t>
        </is>
      </c>
      <c r="E10" s="172" t="inlineStr">
        <is>
          <t>[ ] Yes  [ ] No</t>
        </is>
      </c>
      <c r="F10" s="178" t="inlineStr">
        <is>
          <t>Frontier Preview</t>
        </is>
      </c>
    </row>
    <row r="11">
      <c r="A11" s="170" t="inlineStr">
        <is>
          <t>A365-6</t>
        </is>
      </c>
      <c r="B11" s="170" t="inlineStr">
        <is>
          <t>Cross-Surface Discovery</t>
        </is>
      </c>
      <c r="C11" s="171" t="inlineStr">
        <is>
          <t>Enable automatic discovery of agents created outside Copilot Studio (e.g., Teams Toolkit, Azure AI Foundry) to ensure complete inventory coverage.</t>
        </is>
      </c>
      <c r="D11" s="170" t="inlineStr">
        <is>
          <t>Zone 3</t>
        </is>
      </c>
      <c r="E11" s="170" t="inlineStr">
        <is>
          <t>[ ] Yes  [ ] No</t>
        </is>
      </c>
      <c r="F11" s="178" t="inlineStr">
        <is>
          <t>Frontier Preview</t>
        </is>
      </c>
    </row>
    <row r="12">
      <c r="A12" s="172" t="inlineStr">
        <is>
          <t>A365-7</t>
        </is>
      </c>
      <c r="B12" s="172" t="inlineStr">
        <is>
          <t>Agent Lifecycle Automation</t>
        </is>
      </c>
      <c r="C12" s="173" t="inlineStr">
        <is>
          <t>Configure automated lifecycle workflows: creation approval, periodic attestation, dormancy detection, and decommissioning procedures integrated with Agent 365 registry.</t>
        </is>
      </c>
      <c r="D12" s="172" t="inlineStr">
        <is>
          <t>Zone 3</t>
        </is>
      </c>
      <c r="E12" s="172" t="inlineStr">
        <is>
          <t>[ ] Yes  [ ] No</t>
        </is>
      </c>
      <c r="F12" s="178" t="inlineStr">
        <is>
          <t>Frontier Preview</t>
        </is>
      </c>
    </row>
  </sheetData>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2025-12-11T18:52:48Z</dcterms:created>
  <dcterms:modified xmlns:dcterms="http://purl.org/dc/terms/" xmlns:xsi="http://www.w3.org/2001/XMLSchema-instance" xsi:type="dcterms:W3CDTF">2025-12-14T19:18:17Z</dcterms:modified>
</cp:coreProperties>
</file>